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8_{D0C8C3C6-F69B-44F5-9098-C15BCB282787}" xr6:coauthVersionLast="47" xr6:coauthVersionMax="47" xr10:uidLastSave="{00000000-0000-0000-0000-000000000000}"/>
  <bookViews>
    <workbookView xWindow="-110" yWindow="-110" windowWidth="19420" windowHeight="10420" tabRatio="725" activeTab="2" xr2:uid="{8F2BAC0F-92E0-4769-B967-872B27794AF4}"/>
  </bookViews>
  <sheets>
    <sheet name="DATA " sheetId="7" r:id="rId1"/>
    <sheet name="PIVOT TABLE" sheetId="8" r:id="rId2"/>
    <sheet name="SALES DASHBOARD" sheetId="9" r:id="rId3"/>
  </sheets>
  <externalReferences>
    <externalReference r:id="rId4"/>
  </externalReferences>
  <definedNames>
    <definedName name="Slicer_AREA">#N/A</definedName>
    <definedName name="Slicer_DEALER">#N/A</definedName>
    <definedName name="Slicer_Months">#N/A</definedName>
    <definedName name="Slicer_PRODUCT">#N/A</definedName>
    <definedName name="Table2">'[1]LECTURE 2'!$B$12:$J$64</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8" l="1"/>
  <c r="K5" i="8"/>
  <c r="K3" i="8"/>
  <c r="E4" i="8"/>
  <c r="E6" i="8"/>
  <c r="E5" i="8"/>
  <c r="E3" i="8"/>
</calcChain>
</file>

<file path=xl/sharedStrings.xml><?xml version="1.0" encoding="utf-8"?>
<sst xmlns="http://schemas.openxmlformats.org/spreadsheetml/2006/main" count="1271" uniqueCount="75">
  <si>
    <t>PRODUCT</t>
  </si>
  <si>
    <t>ALI</t>
  </si>
  <si>
    <t>Jan</t>
  </si>
  <si>
    <t>Feb</t>
  </si>
  <si>
    <t>Mar</t>
  </si>
  <si>
    <t>Apr</t>
  </si>
  <si>
    <t>COST PRICE</t>
  </si>
  <si>
    <t>DATE</t>
  </si>
  <si>
    <t>QTY</t>
  </si>
  <si>
    <t>AREA</t>
  </si>
  <si>
    <t>DEALER</t>
  </si>
  <si>
    <t>TOTAL COST</t>
  </si>
  <si>
    <t xml:space="preserve">SALE PRICE </t>
  </si>
  <si>
    <t>TOTAL SALES</t>
  </si>
  <si>
    <t>TOTAL PROFIT</t>
  </si>
  <si>
    <t>C.PANT</t>
  </si>
  <si>
    <t>GULSHAN</t>
  </si>
  <si>
    <t>S.KAMEEZ</t>
  </si>
  <si>
    <t>JOHAR</t>
  </si>
  <si>
    <t>AHMED</t>
  </si>
  <si>
    <t>HOODIE</t>
  </si>
  <si>
    <t>NAZIMABAD</t>
  </si>
  <si>
    <t>HARIS</t>
  </si>
  <si>
    <t>T.SUIT</t>
  </si>
  <si>
    <t>BAHADURABAD</t>
  </si>
  <si>
    <t>HAMZA</t>
  </si>
  <si>
    <t>JEANS</t>
  </si>
  <si>
    <t>TARIQ ROAD</t>
  </si>
  <si>
    <t>SAAD</t>
  </si>
  <si>
    <t>T.SHIRT</t>
  </si>
  <si>
    <t>DEFENCE</t>
  </si>
  <si>
    <t>BILAL</t>
  </si>
  <si>
    <t>CAP</t>
  </si>
  <si>
    <t>KORANGI</t>
  </si>
  <si>
    <t>AFFAN</t>
  </si>
  <si>
    <t>SHIRT</t>
  </si>
  <si>
    <t>GARDEN</t>
  </si>
  <si>
    <t>WASIF</t>
  </si>
  <si>
    <t>PURSE</t>
  </si>
  <si>
    <t>ORANGI</t>
  </si>
  <si>
    <t>KAREEM</t>
  </si>
  <si>
    <t>WALLET</t>
  </si>
  <si>
    <t>MALIR</t>
  </si>
  <si>
    <t>LARAIB</t>
  </si>
  <si>
    <t>Grand Total</t>
  </si>
  <si>
    <t>May</t>
  </si>
  <si>
    <t>Jun</t>
  </si>
  <si>
    <t>Jul</t>
  </si>
  <si>
    <t>Aug</t>
  </si>
  <si>
    <t>Sep</t>
  </si>
  <si>
    <t>Oct</t>
  </si>
  <si>
    <t>Nov</t>
  </si>
  <si>
    <t>Dec</t>
  </si>
  <si>
    <t>PRODUCT NAME</t>
  </si>
  <si>
    <t xml:space="preserve">TOTAL SALES </t>
  </si>
  <si>
    <t>NAME OF MONTH</t>
  </si>
  <si>
    <t>AREA NAME</t>
  </si>
  <si>
    <t>DEALER NAME</t>
  </si>
  <si>
    <t>(All)</t>
  </si>
  <si>
    <t>NAME OF MONTHS</t>
  </si>
  <si>
    <t>TOTAL QTY</t>
  </si>
  <si>
    <t xml:space="preserve">TOTAL COST </t>
  </si>
  <si>
    <t xml:space="preserve">TOTAL PROFIT </t>
  </si>
  <si>
    <t>YERALY SALES</t>
  </si>
  <si>
    <t>SALES CHARTS</t>
  </si>
  <si>
    <t>TOTAL SALES :</t>
  </si>
  <si>
    <t>TOTAL COST :</t>
  </si>
  <si>
    <t>TOTAL PROFIT :</t>
  </si>
  <si>
    <t>Months</t>
  </si>
  <si>
    <t>AREA WISE REVIEW</t>
  </si>
  <si>
    <t>TOTAL SALES:</t>
  </si>
  <si>
    <t>TOTAL COST:</t>
  </si>
  <si>
    <t>TOTAL PROFIT:</t>
  </si>
  <si>
    <t>AREA CHARTS</t>
  </si>
  <si>
    <t>TOTAL QTY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</si>
</sst>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s&quot;* #,##0.00_-;\-&quot;Rs&quot;* #,##0.00_-;_-&quot;Rs&quot;* &quot;-&quot;??_-;_-@_-"/>
    <numFmt numFmtId="164" formatCode="_-&quot;Rs&quot;* #,##0_-;\-&quot;Rs&quot;* #,##0_-;_-&quot;Rs&quot;* &quot;-&quot;??_-;_-@_-"/>
    <numFmt numFmtId="165" formatCode="[$-409]d\-mmm\-yy;@"/>
    <numFmt numFmtId="166" formatCode="&quot;Rs&quot;\ 0.00,,&quot;M&quot;"/>
    <numFmt numFmtId="167" formatCode="&quot;Rs&quot;#,##0.00"/>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Arial"/>
      <family val="2"/>
    </font>
    <font>
      <b/>
      <u/>
      <sz val="16"/>
      <color theme="0"/>
      <name val="Calibri"/>
      <family val="2"/>
      <scheme val="minor"/>
    </font>
    <font>
      <sz val="11"/>
      <color theme="0"/>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1"/>
        <bgColor theme="1"/>
      </patternFill>
    </fill>
    <fill>
      <patternFill patternType="solid">
        <fgColor indexed="22"/>
      </patternFill>
    </fill>
    <fill>
      <patternFill patternType="solid">
        <fgColor indexed="26"/>
      </patternFill>
    </fill>
    <fill>
      <patternFill patternType="solid">
        <fgColor theme="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bgColor indexed="64"/>
      </patternFill>
    </fill>
    <fill>
      <patternFill patternType="solid">
        <fgColor theme="7" tint="0.59999389629810485"/>
        <bgColor indexed="64"/>
      </patternFill>
    </fill>
    <fill>
      <patternFill patternType="solid">
        <fgColor theme="4" tint="-0.24997711111789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s>
  <cellStyleXfs count="4">
    <xf numFmtId="0" fontId="0" fillId="0" borderId="0"/>
    <xf numFmtId="44" fontId="3" fillId="0" borderId="0" applyFont="0" applyFill="0" applyBorder="0" applyAlignment="0" applyProtection="0"/>
    <xf numFmtId="0" fontId="4" fillId="4" borderId="0" applyNumberFormat="0" applyFont="0" applyBorder="0" applyAlignment="0" applyProtection="0"/>
    <xf numFmtId="0" fontId="4" fillId="5" borderId="0" applyNumberFormat="0" applyFont="0" applyBorder="0" applyAlignment="0" applyProtection="0"/>
  </cellStyleXfs>
  <cellXfs count="100">
    <xf numFmtId="0" fontId="0" fillId="0" borderId="0" xfId="0"/>
    <xf numFmtId="0" fontId="0" fillId="0" borderId="1" xfId="0" applyBorder="1" applyAlignment="1">
      <alignment horizontal="center" vertical="center"/>
    </xf>
    <xf numFmtId="0" fontId="1" fillId="3" borderId="0" xfId="0" applyFont="1" applyFill="1"/>
    <xf numFmtId="0" fontId="0" fillId="0" borderId="10" xfId="0" applyBorder="1"/>
    <xf numFmtId="164" fontId="0" fillId="0" borderId="1" xfId="1" applyNumberFormat="1" applyFont="1" applyBorder="1" applyAlignment="1">
      <alignment horizontal="center" vertical="center"/>
    </xf>
    <xf numFmtId="165" fontId="0" fillId="0" borderId="10" xfId="0" applyNumberFormat="1" applyBorder="1"/>
    <xf numFmtId="0" fontId="0" fillId="0" borderId="0" xfId="0" applyAlignment="1">
      <alignment horizontal="left"/>
    </xf>
    <xf numFmtId="0" fontId="2" fillId="8" borderId="11" xfId="0" applyFont="1" applyFill="1" applyBorder="1" applyAlignment="1">
      <alignment horizontal="right"/>
    </xf>
    <xf numFmtId="0" fontId="2" fillId="9" borderId="11" xfId="0" applyFont="1" applyFill="1" applyBorder="1" applyAlignment="1">
      <alignment horizontal="right"/>
    </xf>
    <xf numFmtId="0" fontId="2" fillId="10" borderId="11" xfId="0" applyFont="1" applyFill="1" applyBorder="1" applyAlignment="1">
      <alignment horizontal="right"/>
    </xf>
    <xf numFmtId="164" fontId="0" fillId="0" borderId="1" xfId="0" applyNumberFormat="1" applyBorder="1" applyAlignment="1">
      <alignment horizontal="center"/>
    </xf>
    <xf numFmtId="0" fontId="0" fillId="0" borderId="14" xfId="0" applyBorder="1" applyAlignment="1">
      <alignment horizontal="center" vertical="center"/>
    </xf>
    <xf numFmtId="164" fontId="0" fillId="0" borderId="14" xfId="0" applyNumberFormat="1" applyBorder="1" applyAlignment="1">
      <alignment horizontal="center"/>
    </xf>
    <xf numFmtId="0" fontId="0" fillId="2" borderId="0" xfId="0" applyFill="1"/>
    <xf numFmtId="0" fontId="0" fillId="2" borderId="0" xfId="0" applyFill="1" applyAlignment="1">
      <alignment horizontal="center" vertical="center"/>
    </xf>
    <xf numFmtId="0" fontId="0" fillId="2" borderId="29" xfId="0" applyFill="1" applyBorder="1" applyAlignment="1">
      <alignment horizontal="center" vertical="center"/>
    </xf>
    <xf numFmtId="0" fontId="0" fillId="2" borderId="28" xfId="0" applyFill="1" applyBorder="1" applyAlignment="1">
      <alignment horizontal="center" vertical="center"/>
    </xf>
    <xf numFmtId="0" fontId="0" fillId="2" borderId="27" xfId="0" applyFill="1" applyBorder="1"/>
    <xf numFmtId="0" fontId="0" fillId="2" borderId="28" xfId="0" applyFill="1" applyBorder="1"/>
    <xf numFmtId="164" fontId="2" fillId="11" borderId="16" xfId="0" applyNumberFormat="1" applyFont="1" applyFill="1" applyBorder="1" applyAlignment="1">
      <alignment horizontal="center"/>
    </xf>
    <xf numFmtId="164" fontId="2" fillId="11" borderId="17" xfId="0" applyNumberFormat="1" applyFont="1" applyFill="1" applyBorder="1" applyAlignment="1">
      <alignment horizontal="center"/>
    </xf>
    <xf numFmtId="0" fontId="0" fillId="0" borderId="13" xfId="0" applyBorder="1" applyAlignment="1">
      <alignment horizontal="center" vertical="center"/>
    </xf>
    <xf numFmtId="164" fontId="0" fillId="0" borderId="14" xfId="1" applyNumberFormat="1" applyFont="1" applyBorder="1" applyAlignment="1">
      <alignment horizontal="center" vertical="center"/>
    </xf>
    <xf numFmtId="0" fontId="0" fillId="9" borderId="27" xfId="0" applyFill="1" applyBorder="1"/>
    <xf numFmtId="0" fontId="0" fillId="0" borderId="15" xfId="0" applyBorder="1" applyAlignment="1">
      <alignment horizontal="center" vertical="center"/>
    </xf>
    <xf numFmtId="164" fontId="0" fillId="0" borderId="13" xfId="0" applyNumberFormat="1" applyBorder="1" applyAlignment="1">
      <alignment horizontal="center"/>
    </xf>
    <xf numFmtId="0" fontId="0" fillId="0" borderId="25" xfId="0" pivotButton="1" applyBorder="1" applyAlignment="1">
      <alignment horizontal="center" vertical="center"/>
    </xf>
    <xf numFmtId="0" fontId="0" fillId="0" borderId="21" xfId="0" applyBorder="1" applyAlignment="1">
      <alignment horizontal="center"/>
    </xf>
    <xf numFmtId="0" fontId="0" fillId="0" borderId="25" xfId="0" applyBorder="1" applyAlignment="1">
      <alignment horizontal="center"/>
    </xf>
    <xf numFmtId="0" fontId="0" fillId="0" borderId="16" xfId="0" applyBorder="1" applyAlignment="1">
      <alignment horizontal="center" vertical="center"/>
    </xf>
    <xf numFmtId="0" fontId="0" fillId="0" borderId="17" xfId="0" applyBorder="1" applyAlignment="1">
      <alignment horizontal="center" vertical="center"/>
    </xf>
    <xf numFmtId="164" fontId="2" fillId="11" borderId="15" xfId="0" applyNumberFormat="1" applyFont="1" applyFill="1" applyBorder="1" applyAlignment="1">
      <alignment horizontal="center"/>
    </xf>
    <xf numFmtId="0" fontId="2" fillId="11" borderId="25" xfId="0" applyFont="1" applyFill="1" applyBorder="1" applyAlignment="1">
      <alignment horizontal="center"/>
    </xf>
    <xf numFmtId="164" fontId="0" fillId="0" borderId="21" xfId="0" applyNumberFormat="1" applyBorder="1" applyAlignment="1">
      <alignment horizontal="center" vertical="center"/>
    </xf>
    <xf numFmtId="164" fontId="0" fillId="0" borderId="25" xfId="0" applyNumberFormat="1"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2" fillId="10" borderId="7" xfId="0" applyFont="1" applyFill="1" applyBorder="1" applyAlignment="1">
      <alignment horizontal="right"/>
    </xf>
    <xf numFmtId="164" fontId="0" fillId="8" borderId="31" xfId="1" applyNumberFormat="1" applyFont="1" applyFill="1" applyBorder="1" applyAlignment="1">
      <alignment horizontal="right"/>
    </xf>
    <xf numFmtId="164" fontId="0" fillId="9" borderId="31" xfId="1" applyNumberFormat="1" applyFont="1" applyFill="1" applyBorder="1" applyAlignment="1">
      <alignment horizontal="right"/>
    </xf>
    <xf numFmtId="164" fontId="0" fillId="10" borderId="31" xfId="1" applyNumberFormat="1" applyFont="1" applyFill="1" applyBorder="1" applyAlignment="1">
      <alignment horizontal="right"/>
    </xf>
    <xf numFmtId="0" fontId="0" fillId="2" borderId="29" xfId="0" applyFill="1" applyBorder="1"/>
    <xf numFmtId="0" fontId="0" fillId="2" borderId="30" xfId="0" applyFill="1" applyBorder="1"/>
    <xf numFmtId="0" fontId="0" fillId="9" borderId="0" xfId="0" applyFill="1"/>
    <xf numFmtId="0" fontId="0" fillId="0" borderId="5" xfId="0" pivotButton="1" applyBorder="1"/>
    <xf numFmtId="0" fontId="0" fillId="0" borderId="9" xfId="0" applyBorder="1"/>
    <xf numFmtId="164" fontId="0" fillId="0" borderId="0" xfId="0" applyNumberFormat="1"/>
    <xf numFmtId="164" fontId="0" fillId="0" borderId="28" xfId="0" applyNumberFormat="1" applyBorder="1"/>
    <xf numFmtId="0" fontId="0" fillId="12" borderId="29" xfId="0" applyFill="1" applyBorder="1"/>
    <xf numFmtId="164" fontId="0" fillId="10" borderId="29" xfId="0" applyNumberFormat="1" applyFill="1" applyBorder="1"/>
    <xf numFmtId="164" fontId="0" fillId="9" borderId="30" xfId="0" applyNumberFormat="1" applyFill="1" applyBorder="1"/>
    <xf numFmtId="164" fontId="0" fillId="0" borderId="6" xfId="0" applyNumberFormat="1" applyBorder="1"/>
    <xf numFmtId="0" fontId="0" fillId="0" borderId="18" xfId="0" applyBorder="1"/>
    <xf numFmtId="164" fontId="0" fillId="0" borderId="18" xfId="0" applyNumberFormat="1" applyBorder="1"/>
    <xf numFmtId="164" fontId="0" fillId="0" borderId="19" xfId="0" applyNumberFormat="1" applyBorder="1"/>
    <xf numFmtId="164" fontId="0" fillId="0" borderId="27" xfId="0" applyNumberFormat="1" applyBorder="1"/>
    <xf numFmtId="164" fontId="0" fillId="8" borderId="33" xfId="0" applyNumberFormat="1" applyFill="1" applyBorder="1"/>
    <xf numFmtId="0" fontId="0" fillId="0" borderId="3" xfId="0" applyBorder="1" applyAlignment="1">
      <alignment horizontal="left"/>
    </xf>
    <xf numFmtId="0" fontId="0" fillId="0" borderId="34" xfId="0" applyBorder="1" applyAlignment="1">
      <alignment horizontal="left"/>
    </xf>
    <xf numFmtId="0" fontId="0" fillId="0" borderId="4" xfId="0" applyBorder="1" applyAlignment="1">
      <alignment horizontal="left"/>
    </xf>
    <xf numFmtId="0" fontId="0" fillId="0" borderId="5" xfId="0" applyBorder="1"/>
    <xf numFmtId="0" fontId="0" fillId="0" borderId="8" xfId="0" applyBorder="1"/>
    <xf numFmtId="0" fontId="6" fillId="13" borderId="2" xfId="0" applyFont="1" applyFill="1" applyBorder="1"/>
    <xf numFmtId="0" fontId="0" fillId="0" borderId="2" xfId="0" pivotButton="1" applyBorder="1"/>
    <xf numFmtId="0" fontId="0" fillId="0" borderId="15" xfId="0" pivotButton="1" applyBorder="1"/>
    <xf numFmtId="0" fontId="0" fillId="0" borderId="17" xfId="0" applyBorder="1"/>
    <xf numFmtId="0" fontId="0" fillId="0" borderId="29" xfId="0" applyBorder="1" applyAlignment="1">
      <alignment horizontal="left"/>
    </xf>
    <xf numFmtId="0" fontId="0" fillId="0" borderId="29" xfId="0" applyBorder="1"/>
    <xf numFmtId="0" fontId="0" fillId="0" borderId="29" xfId="0" pivotButton="1" applyBorder="1"/>
    <xf numFmtId="166" fontId="0" fillId="8" borderId="31" xfId="1" applyNumberFormat="1" applyFont="1" applyFill="1" applyBorder="1"/>
    <xf numFmtId="166" fontId="0" fillId="9" borderId="31" xfId="1" applyNumberFormat="1" applyFont="1" applyFill="1" applyBorder="1"/>
    <xf numFmtId="166" fontId="0" fillId="10" borderId="31" xfId="1" applyNumberFormat="1" applyFont="1" applyFill="1" applyBorder="1"/>
    <xf numFmtId="0" fontId="0" fillId="7" borderId="31" xfId="0" applyFill="1" applyBorder="1"/>
    <xf numFmtId="0" fontId="2" fillId="7" borderId="11" xfId="0" applyFont="1" applyFill="1" applyBorder="1" applyAlignment="1">
      <alignment horizontal="right" vertical="center"/>
    </xf>
    <xf numFmtId="0" fontId="0" fillId="0" borderId="6" xfId="0" applyBorder="1"/>
    <xf numFmtId="0" fontId="0" fillId="0" borderId="19" xfId="0" applyBorder="1"/>
    <xf numFmtId="0" fontId="0" fillId="0" borderId="27" xfId="0" applyBorder="1"/>
    <xf numFmtId="0" fontId="0" fillId="0" borderId="28" xfId="0" applyBorder="1"/>
    <xf numFmtId="0" fontId="0" fillId="0" borderId="33" xfId="0" applyBorder="1"/>
    <xf numFmtId="0" fontId="0" fillId="0" borderId="30" xfId="0" applyBorder="1"/>
    <xf numFmtId="0" fontId="0" fillId="0" borderId="1" xfId="0" applyBorder="1" applyAlignment="1">
      <alignment horizontal="center"/>
    </xf>
    <xf numFmtId="0" fontId="2" fillId="11" borderId="16" xfId="0" applyFont="1" applyFill="1" applyBorder="1" applyAlignment="1">
      <alignment horizontal="center"/>
    </xf>
    <xf numFmtId="167" fontId="1" fillId="3" borderId="0" xfId="0" applyNumberFormat="1" applyFont="1" applyFill="1"/>
    <xf numFmtId="167" fontId="0" fillId="0" borderId="10" xfId="0" applyNumberFormat="1" applyBorder="1"/>
    <xf numFmtId="167" fontId="0" fillId="0" borderId="0" xfId="0" applyNumberFormat="1"/>
    <xf numFmtId="0" fontId="5" fillId="6" borderId="6" xfId="0" applyFont="1" applyFill="1" applyBorder="1" applyAlignment="1">
      <alignment horizontal="center" vertical="center"/>
    </xf>
    <xf numFmtId="0" fontId="5" fillId="6" borderId="18"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6" xfId="0" applyFont="1" applyFill="1" applyBorder="1" applyAlignment="1">
      <alignment horizontal="center"/>
    </xf>
    <xf numFmtId="0" fontId="5" fillId="6" borderId="18" xfId="0" applyFont="1" applyFill="1" applyBorder="1" applyAlignment="1">
      <alignment horizontal="center"/>
    </xf>
    <xf numFmtId="0" fontId="5" fillId="6" borderId="19" xfId="0" applyFont="1" applyFill="1" applyBorder="1" applyAlignment="1">
      <alignment horizontal="center"/>
    </xf>
    <xf numFmtId="0" fontId="5" fillId="6" borderId="22" xfId="0" applyFont="1" applyFill="1" applyBorder="1" applyAlignment="1">
      <alignment horizontal="center" vertical="center"/>
    </xf>
    <xf numFmtId="0" fontId="5" fillId="6" borderId="23" xfId="0" applyFont="1" applyFill="1" applyBorder="1" applyAlignment="1">
      <alignment horizontal="center" vertical="center"/>
    </xf>
    <xf numFmtId="0" fontId="5" fillId="6" borderId="32" xfId="0" applyFont="1" applyFill="1" applyBorder="1" applyAlignment="1">
      <alignment horizontal="center" vertical="center"/>
    </xf>
    <xf numFmtId="0" fontId="5" fillId="6" borderId="24" xfId="0" applyFont="1" applyFill="1" applyBorder="1" applyAlignment="1">
      <alignment horizontal="center" vertical="center"/>
    </xf>
    <xf numFmtId="0" fontId="0" fillId="2" borderId="26" xfId="0" applyFill="1" applyBorder="1" applyAlignment="1">
      <alignment horizontal="center"/>
    </xf>
    <xf numFmtId="0" fontId="0" fillId="2" borderId="12" xfId="0" applyFill="1" applyBorder="1" applyAlignment="1">
      <alignment horizontal="center"/>
    </xf>
    <xf numFmtId="0" fontId="0" fillId="2" borderId="20" xfId="0" applyFill="1" applyBorder="1" applyAlignment="1">
      <alignment horizontal="center"/>
    </xf>
    <xf numFmtId="0" fontId="0" fillId="2" borderId="31" xfId="0" applyFill="1" applyBorder="1" applyAlignment="1">
      <alignment horizontal="center"/>
    </xf>
  </cellXfs>
  <cellStyles count="4">
    <cellStyle name="Currency" xfId="1" builtinId="4"/>
    <cellStyle name="GreyOrWhite" xfId="2" xr:uid="{68A30E25-CE68-412E-B43B-862F17C8B276}"/>
    <cellStyle name="Normal" xfId="0" builtinId="0"/>
    <cellStyle name="Yellow" xfId="3" xr:uid="{FA97051D-7256-4615-A2CB-FEBD3AE2A760}"/>
  </cellStyles>
  <dxfs count="174">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64" formatCode="_-&quot;Rs&quot;* #,##0_-;\-&quot;Rs&quot;* #,##0_-;_-&quot;Rs&quot;* &quot;-&quot;??_-;_-@_-"/>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4" tint="-0.249977111117893"/>
        </patternFill>
      </fill>
    </dxf>
    <dxf>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quot;Rs&quot;* #,##0_-;\-&quot;Rs&quot;* #,##0_-;_-&quot;Rs&quot;* &quot;-&quot;??_-;_-@_-"/>
    </dxf>
    <dxf>
      <numFmt numFmtId="164" formatCode="_-&quot;Rs&quot;* #,##0_-;\-&quot;Rs&quot;* #,##0_-;_-&quot;Rs&quot;* &quot;-&quot;??_-;_-@_-"/>
    </dxf>
    <dxf>
      <fill>
        <patternFill patternType="solid">
          <bgColor theme="7" tint="0.59999389629810485"/>
        </patternFill>
      </fill>
    </dxf>
    <dxf>
      <fill>
        <patternFill patternType="solid">
          <bgColor theme="8" tint="0.79998168889431442"/>
        </patternFill>
      </fill>
    </dxf>
    <dxf>
      <fill>
        <patternFill patternType="solid">
          <bgColor theme="5" tint="0.79998168889431442"/>
        </patternFill>
      </fill>
    </dxf>
    <dxf>
      <fill>
        <patternFill patternType="solid">
          <bgColor theme="9"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quot;Rs&quot;* #,##0_-;\-&quot;Rs&quot;* #,##0_-;_-&quot;Rs&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64" formatCode="_-&quot;Rs&quot;* #,##0_-;\-&quot;Rs&quot;* #,##0_-;_-&quot;Rs&quot;* &quot;-&quot;??_-;_-@_-"/>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color theme="1"/>
      </font>
    </dxf>
    <dxf>
      <font>
        <color theme="1"/>
      </font>
    </dxf>
    <dxf>
      <fill>
        <patternFill patternType="solid">
          <bgColor theme="8"/>
        </patternFill>
      </fill>
    </dxf>
    <dxf>
      <fill>
        <patternFill patternType="solid">
          <bgColor theme="8"/>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numFmt numFmtId="164" formatCode="_-&quot;Rs&quot;* #,##0_-;\-&quot;Rs&quot;* #,##0_-;_-&quot;Rs&quot;* &quot;-&quot;??_-;_-@_-"/>
    </dxf>
    <dxf>
      <numFmt numFmtId="164" formatCode="_-&quot;Rs&quot;* #,##0_-;\-&quot;Rs&quot;* #,##0_-;_-&quot;Rs&quot;* &quot;-&quot;??_-;_-@_-"/>
    </dxf>
    <dxf>
      <numFmt numFmtId="164" formatCode="_-&quot;Rs&quot;* #,##0_-;\-&quot;Rs&quot;* #,##0_-;_-&quot;Rs&quot;* &quot;-&quot;??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quot;Rs&quot;* #,##0_-;\-&quot;Rs&quot;* #,##0_-;_-&quot;Rs&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Rs&quot;#,##0.00"/>
      <border diagonalUp="0" diagonalDown="0" outline="0">
        <left/>
        <right/>
        <top style="thin">
          <color theme="1"/>
        </top>
        <bottom/>
      </border>
    </dxf>
    <dxf>
      <numFmt numFmtId="167" formatCode="&quot;Rs&quot;#,##0.00"/>
      <border diagonalUp="0" diagonalDown="0" outline="0">
        <left/>
        <right/>
        <top style="thin">
          <color theme="1"/>
        </top>
        <bottom/>
      </border>
    </dxf>
    <dxf>
      <numFmt numFmtId="167" formatCode="&quot;Rs&quot;#,##0.00"/>
      <border diagonalUp="0" diagonalDown="0" outline="0">
        <left/>
        <right/>
        <top style="thin">
          <color theme="1"/>
        </top>
        <bottom/>
      </border>
    </dxf>
    <dxf>
      <numFmt numFmtId="167" formatCode="&quot;Rs&quot;#,##0.00"/>
      <border diagonalUp="0" diagonalDown="0" outline="0">
        <left/>
        <right/>
        <top style="thin">
          <color theme="1"/>
        </top>
        <bottom/>
      </border>
    </dxf>
    <dxf>
      <numFmt numFmtId="167" formatCode="&quot;Rs&quot;#,##0.00"/>
      <border diagonalUp="0" diagonalDown="0" outline="0">
        <left/>
        <right/>
        <top style="thin">
          <color theme="1"/>
        </top>
        <bottom/>
      </border>
    </dxf>
    <dxf>
      <border diagonalUp="0" diagonalDown="0" outline="0">
        <left/>
        <right/>
        <top style="thin">
          <color theme="1"/>
        </top>
        <bottom/>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165" formatCode="[$-409]d\-mmm\-yy;@"/>
      <border diagonalUp="0" diagonalDown="0">
        <left/>
        <right/>
        <top style="thin">
          <color theme="1"/>
        </top>
        <bottom/>
        <vertical/>
        <horizontal/>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s>
  <tableStyles count="0" defaultTableStyle="TableStyleMedium2" defaultPivotStyle="PivotStyleLight16"/>
  <colors>
    <mruColors>
      <color rgb="FFF1995D"/>
      <color rgb="FFF2A36E"/>
      <color rgb="FFFADBC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Sales 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solidFill>
                  <a:schemeClr val="tx1">
                    <a:lumMod val="65000"/>
                    <a:lumOff val="35000"/>
                  </a:schemeClr>
                </a:solidFill>
              </a:rPr>
              <a:t>SALES</a:t>
            </a:r>
            <a:r>
              <a:rPr lang="en-US" sz="1100" b="1" u="sng" baseline="0">
                <a:solidFill>
                  <a:schemeClr val="tx1">
                    <a:lumMod val="65000"/>
                    <a:lumOff val="35000"/>
                  </a:schemeClr>
                </a:solidFill>
              </a:rPr>
              <a:t> BY PRODUCT</a:t>
            </a:r>
            <a:r>
              <a:rPr lang="en-US" baseline="0"/>
              <a:t>.</a:t>
            </a:r>
            <a:endParaRPr lang="en-US"/>
          </a:p>
        </c:rich>
      </c:tx>
      <c:layout>
        <c:manualLayout>
          <c:xMode val="edge"/>
          <c:yMode val="edge"/>
          <c:x val="0.315749695422880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0.28648571350367308"/>
              <c:y val="-3.00539263097893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0.26490137622494175"/>
              <c:y val="-3.7949978135305623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dLbl>
          <c:idx val="0"/>
          <c:layout>
            <c:manualLayout>
              <c:x val="0.27388228157170175"/>
              <c:y val="7.400320021869635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dLbl>
          <c:idx val="0"/>
          <c:layout>
            <c:manualLayout>
              <c:x val="0.25498285933257253"/>
              <c:y val="0.1632686009616502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18731814050710904"/>
              <c:y val="0.1283643277138839"/>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2A36E"/>
          </a:solidFill>
          <a:ln>
            <a:noFill/>
          </a:ln>
          <a:effectLst/>
        </c:spPr>
        <c:dLbl>
          <c:idx val="0"/>
          <c:layout>
            <c:manualLayout>
              <c:x val="-0.23380741788427689"/>
              <c:y val="0.121300273321061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24980714305265317"/>
              <c:y val="8.0389275751187206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c:spPr>
        <c:dLbl>
          <c:idx val="0"/>
          <c:layout>
            <c:manualLayout>
              <c:x val="-0.243474843689514"/>
              <c:y val="-2.9995983631441042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dLbl>
          <c:idx val="0"/>
          <c:layout>
            <c:manualLayout>
              <c:x val="-0.30556751892400069"/>
              <c:y val="-0.1479870862112768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dLbl>
          <c:idx val="0"/>
          <c:layout>
            <c:manualLayout>
              <c:x val="0.30233461643951165"/>
              <c:y val="-0.125905973394901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dLbl>
          <c:idx val="0"/>
          <c:layout>
            <c:manualLayout>
              <c:x val="0.28648571350367308"/>
              <c:y val="-3.00539263097893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dLbl>
          <c:idx val="0"/>
          <c:layout>
            <c:manualLayout>
              <c:x val="0.26490137622494175"/>
              <c:y val="-3.7949978135305623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2">
              <a:lumMod val="60000"/>
              <a:lumOff val="40000"/>
            </a:schemeClr>
          </a:solidFill>
          <a:ln>
            <a:noFill/>
          </a:ln>
          <a:effectLst/>
        </c:spPr>
        <c:dLbl>
          <c:idx val="0"/>
          <c:layout>
            <c:manualLayout>
              <c:x val="0.27388228157170175"/>
              <c:y val="7.400320021869635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2">
              <a:lumMod val="40000"/>
              <a:lumOff val="60000"/>
            </a:schemeClr>
          </a:solidFill>
          <a:ln>
            <a:noFill/>
          </a:ln>
          <a:effectLst/>
        </c:spPr>
        <c:dLbl>
          <c:idx val="0"/>
          <c:layout>
            <c:manualLayout>
              <c:x val="0.25498285933257253"/>
              <c:y val="0.1632686009616502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18731814050710904"/>
              <c:y val="0.1283643277138839"/>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F2A36E"/>
          </a:solidFill>
          <a:ln>
            <a:noFill/>
          </a:ln>
          <a:effectLst/>
        </c:spPr>
        <c:dLbl>
          <c:idx val="0"/>
          <c:layout>
            <c:manualLayout>
              <c:x val="-0.23380741788427689"/>
              <c:y val="0.121300273321061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24980714305265317"/>
              <c:y val="8.0389275751187206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noFill/>
          </a:ln>
          <a:effectLst/>
        </c:spPr>
        <c:dLbl>
          <c:idx val="0"/>
          <c:layout>
            <c:manualLayout>
              <c:x val="-0.243474843689514"/>
              <c:y val="-2.9995983631441042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dLbl>
          <c:idx val="0"/>
          <c:layout>
            <c:manualLayout>
              <c:x val="-0.30556751892400069"/>
              <c:y val="-0.1479870862112768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2">
              <a:lumMod val="75000"/>
            </a:schemeClr>
          </a:solidFill>
          <a:ln>
            <a:noFill/>
          </a:ln>
          <a:effectLst/>
        </c:spPr>
        <c:dLbl>
          <c:idx val="0"/>
          <c:layout>
            <c:manualLayout>
              <c:x val="0.30233461643951165"/>
              <c:y val="-0.125905973394901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a:noFill/>
          </a:ln>
          <a:effectLst/>
        </c:spPr>
        <c:dLbl>
          <c:idx val="0"/>
          <c:layout>
            <c:manualLayout>
              <c:x val="0.28648571350367308"/>
              <c:y val="-3.00539263097893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2">
              <a:lumMod val="75000"/>
            </a:schemeClr>
          </a:solidFill>
          <a:ln>
            <a:noFill/>
          </a:ln>
          <a:effectLst/>
        </c:spPr>
        <c:dLbl>
          <c:idx val="0"/>
          <c:layout>
            <c:manualLayout>
              <c:x val="0.26490137622494175"/>
              <c:y val="-3.7949978135305623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2">
              <a:lumMod val="60000"/>
              <a:lumOff val="40000"/>
            </a:schemeClr>
          </a:solidFill>
          <a:ln>
            <a:noFill/>
          </a:ln>
          <a:effectLst/>
        </c:spPr>
        <c:dLbl>
          <c:idx val="0"/>
          <c:layout>
            <c:manualLayout>
              <c:x val="0.27388228157170175"/>
              <c:y val="7.400320021869635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2">
              <a:lumMod val="40000"/>
              <a:lumOff val="60000"/>
            </a:schemeClr>
          </a:solidFill>
          <a:ln>
            <a:noFill/>
          </a:ln>
          <a:effectLst/>
        </c:spPr>
        <c:dLbl>
          <c:idx val="0"/>
          <c:layout>
            <c:manualLayout>
              <c:x val="0.25498285933257253"/>
              <c:y val="0.1632686009616502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0.18731814050710904"/>
              <c:y val="0.1283643277138839"/>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rgbClr val="F2A36E"/>
          </a:solidFill>
          <a:ln>
            <a:noFill/>
          </a:ln>
          <a:effectLst/>
        </c:spPr>
        <c:dLbl>
          <c:idx val="0"/>
          <c:layout>
            <c:manualLayout>
              <c:x val="-0.23380741788427689"/>
              <c:y val="0.121300273321061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0.24980714305265317"/>
              <c:y val="8.0389275751187206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2">
              <a:lumMod val="40000"/>
              <a:lumOff val="60000"/>
            </a:schemeClr>
          </a:solidFill>
          <a:ln>
            <a:noFill/>
          </a:ln>
          <a:effectLst/>
        </c:spPr>
        <c:dLbl>
          <c:idx val="0"/>
          <c:layout>
            <c:manualLayout>
              <c:x val="-0.243474843689514"/>
              <c:y val="-2.9995983631441042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2">
              <a:lumMod val="60000"/>
              <a:lumOff val="40000"/>
            </a:schemeClr>
          </a:solidFill>
          <a:ln>
            <a:noFill/>
          </a:ln>
          <a:effectLst/>
        </c:spPr>
        <c:dLbl>
          <c:idx val="0"/>
          <c:layout>
            <c:manualLayout>
              <c:x val="-0.30556751892400069"/>
              <c:y val="-0.1479870862112768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dLbl>
          <c:idx val="0"/>
          <c:layout>
            <c:manualLayout>
              <c:x val="0.30233461643951165"/>
              <c:y val="-0.125905973394901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2">
              <a:lumMod val="50000"/>
            </a:schemeClr>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2">
              <a:lumMod val="50000"/>
            </a:schemeClr>
          </a:solidFill>
          <a:ln>
            <a:noFill/>
          </a:ln>
          <a:effectLst/>
        </c:spPr>
        <c:dLbl>
          <c:idx val="0"/>
          <c:layout>
            <c:manualLayout>
              <c:x val="0.28648571350367308"/>
              <c:y val="-3.00539263097893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2">
              <a:lumMod val="75000"/>
            </a:schemeClr>
          </a:solidFill>
          <a:ln>
            <a:noFill/>
          </a:ln>
          <a:effectLst/>
        </c:spPr>
        <c:dLbl>
          <c:idx val="0"/>
          <c:layout>
            <c:manualLayout>
              <c:x val="0.26490137622494175"/>
              <c:y val="-3.7949978135305623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2">
              <a:lumMod val="60000"/>
              <a:lumOff val="40000"/>
            </a:schemeClr>
          </a:solidFill>
          <a:ln>
            <a:noFill/>
          </a:ln>
          <a:effectLst/>
        </c:spPr>
        <c:dLbl>
          <c:idx val="0"/>
          <c:layout>
            <c:manualLayout>
              <c:x val="0.27388228157170175"/>
              <c:y val="7.400320021869635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a:noFill/>
          </a:ln>
          <a:effectLst/>
        </c:spPr>
        <c:dLbl>
          <c:idx val="0"/>
          <c:layout>
            <c:manualLayout>
              <c:x val="0.25498285933257253"/>
              <c:y val="0.1632686009616502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dLbl>
          <c:idx val="0"/>
          <c:layout>
            <c:manualLayout>
              <c:x val="-0.18731814050710904"/>
              <c:y val="0.1283643277138839"/>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1"/>
        <c:spPr>
          <a:solidFill>
            <a:srgbClr val="F2A36E"/>
          </a:solidFill>
          <a:ln>
            <a:noFill/>
          </a:ln>
          <a:effectLst/>
        </c:spPr>
        <c:dLbl>
          <c:idx val="0"/>
          <c:layout>
            <c:manualLayout>
              <c:x val="-0.23380741788427689"/>
              <c:y val="0.121300273321061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0.24980714305265317"/>
              <c:y val="8.0389275751187206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2">
              <a:lumMod val="40000"/>
              <a:lumOff val="60000"/>
            </a:schemeClr>
          </a:solidFill>
          <a:ln>
            <a:noFill/>
          </a:ln>
          <a:effectLst/>
        </c:spPr>
        <c:dLbl>
          <c:idx val="0"/>
          <c:layout>
            <c:manualLayout>
              <c:x val="-0.243474843689514"/>
              <c:y val="-2.9995983631441042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2">
              <a:lumMod val="60000"/>
              <a:lumOff val="40000"/>
            </a:schemeClr>
          </a:solidFill>
          <a:ln>
            <a:noFill/>
          </a:ln>
          <a:effectLst/>
        </c:spPr>
        <c:dLbl>
          <c:idx val="0"/>
          <c:layout>
            <c:manualLayout>
              <c:x val="-0.30556751892400069"/>
              <c:y val="-0.1479870862112768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2">
              <a:lumMod val="75000"/>
            </a:schemeClr>
          </a:solidFill>
          <a:ln>
            <a:noFill/>
          </a:ln>
          <a:effectLst/>
        </c:spPr>
        <c:dLbl>
          <c:idx val="0"/>
          <c:layout>
            <c:manualLayout>
              <c:x val="0.30233461643951165"/>
              <c:y val="-0.125905973394901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spPr>
          <a:solidFill>
            <a:schemeClr val="accent2">
              <a:lumMod val="50000"/>
            </a:schemeClr>
          </a:solidFill>
          <a:ln>
            <a:noFill/>
          </a:ln>
          <a:effectLst/>
        </c:spPr>
        <c:dLbl>
          <c:idx val="0"/>
          <c:layout>
            <c:manualLayout>
              <c:x val="0.28648571350367308"/>
              <c:y val="-3.00539263097893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spPr>
          <a:solidFill>
            <a:schemeClr val="accent2">
              <a:lumMod val="75000"/>
            </a:schemeClr>
          </a:solidFill>
          <a:ln>
            <a:noFill/>
          </a:ln>
          <a:effectLst/>
        </c:spPr>
        <c:dLbl>
          <c:idx val="0"/>
          <c:layout>
            <c:manualLayout>
              <c:x val="0.26490124491078365"/>
              <c:y val="1.4197004432064833E-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9"/>
        <c:spPr>
          <a:solidFill>
            <a:schemeClr val="accent2">
              <a:lumMod val="60000"/>
              <a:lumOff val="40000"/>
            </a:schemeClr>
          </a:solidFill>
          <a:ln>
            <a:noFill/>
          </a:ln>
          <a:effectLst/>
        </c:spPr>
        <c:dLbl>
          <c:idx val="0"/>
          <c:layout>
            <c:manualLayout>
              <c:x val="0.27388228157170175"/>
              <c:y val="7.400320021869635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chemeClr val="accent2">
              <a:lumMod val="40000"/>
              <a:lumOff val="60000"/>
            </a:schemeClr>
          </a:solidFill>
          <a:ln>
            <a:noFill/>
          </a:ln>
          <a:effectLst/>
        </c:spPr>
        <c:dLbl>
          <c:idx val="0"/>
          <c:layout>
            <c:manualLayout>
              <c:x val="0.23015305104997411"/>
              <c:y val="0.1010260713074469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1"/>
        <c:spPr>
          <a:solidFill>
            <a:schemeClr val="accent2"/>
          </a:solidFill>
          <a:ln>
            <a:noFill/>
          </a:ln>
          <a:effectLst/>
        </c:spPr>
        <c:dLbl>
          <c:idx val="0"/>
          <c:layout>
            <c:manualLayout>
              <c:x val="-0.21569506425865009"/>
              <c:y val="0.1295052352377274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2"/>
        <c:spPr>
          <a:solidFill>
            <a:srgbClr val="F2A36E"/>
          </a:solidFill>
          <a:ln>
            <a:noFill/>
          </a:ln>
          <a:effectLst/>
        </c:spPr>
        <c:dLbl>
          <c:idx val="0"/>
          <c:layout>
            <c:manualLayout>
              <c:x val="-0.27282568804264584"/>
              <c:y val="0.146197517746485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3"/>
        <c:spPr>
          <a:solidFill>
            <a:schemeClr val="accent2"/>
          </a:solidFill>
          <a:ln>
            <a:noFill/>
          </a:ln>
          <a:effectLst/>
        </c:spPr>
        <c:dLbl>
          <c:idx val="0"/>
          <c:layout>
            <c:manualLayout>
              <c:x val="-0.24980714305265317"/>
              <c:y val="8.0389275751187206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chemeClr val="accent2">
              <a:lumMod val="40000"/>
              <a:lumOff val="60000"/>
            </a:schemeClr>
          </a:solidFill>
          <a:ln>
            <a:noFill/>
          </a:ln>
          <a:effectLst/>
        </c:spPr>
        <c:dLbl>
          <c:idx val="0"/>
          <c:layout>
            <c:manualLayout>
              <c:x val="-0.243474843689514"/>
              <c:y val="-2.9995983631441042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5"/>
        <c:spPr>
          <a:solidFill>
            <a:schemeClr val="accent2">
              <a:lumMod val="60000"/>
              <a:lumOff val="40000"/>
            </a:schemeClr>
          </a:solidFill>
          <a:ln>
            <a:noFill/>
          </a:ln>
          <a:effectLst/>
        </c:spPr>
        <c:dLbl>
          <c:idx val="0"/>
          <c:layout>
            <c:manualLayout>
              <c:x val="-0.24881367142091859"/>
              <c:y val="-8.5744293777114733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6"/>
        <c:spPr>
          <a:solidFill>
            <a:schemeClr val="accent2">
              <a:lumMod val="75000"/>
            </a:schemeClr>
          </a:solidFill>
          <a:ln>
            <a:noFill/>
          </a:ln>
          <a:effectLst/>
        </c:spPr>
        <c:dLbl>
          <c:idx val="0"/>
          <c:layout>
            <c:manualLayout>
              <c:x val="0.30233461643951165"/>
              <c:y val="-0.125905973394901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7922184835470831"/>
          <c:y val="0.16855223051519991"/>
          <c:w val="0.65491455800830878"/>
          <c:h val="0.69451077091477487"/>
        </c:manualLayout>
      </c:layout>
      <c:doughnutChart>
        <c:varyColors val="1"/>
        <c:ser>
          <c:idx val="0"/>
          <c:order val="0"/>
          <c:tx>
            <c:strRef>
              <c:f>'PIVOT TABLE'!$B$24</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823E-4D1A-8DA2-75709B72CFF0}"/>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823E-4D1A-8DA2-75709B72CFF0}"/>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823E-4D1A-8DA2-75709B72CFF0}"/>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7-823E-4D1A-8DA2-75709B72CFF0}"/>
              </c:ext>
            </c:extLst>
          </c:dPt>
          <c:dPt>
            <c:idx val="4"/>
            <c:bubble3D val="0"/>
            <c:spPr>
              <a:solidFill>
                <a:schemeClr val="accent2"/>
              </a:solidFill>
              <a:ln>
                <a:noFill/>
              </a:ln>
              <a:effectLst/>
            </c:spPr>
            <c:extLst>
              <c:ext xmlns:c16="http://schemas.microsoft.com/office/drawing/2014/chart" uri="{C3380CC4-5D6E-409C-BE32-E72D297353CC}">
                <c16:uniqueId val="{00000009-823E-4D1A-8DA2-75709B72CFF0}"/>
              </c:ext>
            </c:extLst>
          </c:dPt>
          <c:dPt>
            <c:idx val="5"/>
            <c:bubble3D val="0"/>
            <c:spPr>
              <a:solidFill>
                <a:srgbClr val="F2A36E"/>
              </a:solidFill>
              <a:ln>
                <a:noFill/>
              </a:ln>
              <a:effectLst/>
            </c:spPr>
            <c:extLst>
              <c:ext xmlns:c16="http://schemas.microsoft.com/office/drawing/2014/chart" uri="{C3380CC4-5D6E-409C-BE32-E72D297353CC}">
                <c16:uniqueId val="{0000000B-823E-4D1A-8DA2-75709B72CFF0}"/>
              </c:ext>
            </c:extLst>
          </c:dPt>
          <c:dPt>
            <c:idx val="6"/>
            <c:bubble3D val="0"/>
            <c:spPr>
              <a:solidFill>
                <a:schemeClr val="accent2"/>
              </a:solidFill>
              <a:ln>
                <a:noFill/>
              </a:ln>
              <a:effectLst/>
            </c:spPr>
            <c:extLst>
              <c:ext xmlns:c16="http://schemas.microsoft.com/office/drawing/2014/chart" uri="{C3380CC4-5D6E-409C-BE32-E72D297353CC}">
                <c16:uniqueId val="{0000000D-823E-4D1A-8DA2-75709B72CFF0}"/>
              </c:ext>
            </c:extLst>
          </c:dPt>
          <c:dPt>
            <c:idx val="7"/>
            <c:bubble3D val="0"/>
            <c:spPr>
              <a:solidFill>
                <a:schemeClr val="accent2">
                  <a:lumMod val="40000"/>
                  <a:lumOff val="60000"/>
                </a:schemeClr>
              </a:solidFill>
              <a:ln>
                <a:noFill/>
              </a:ln>
              <a:effectLst/>
            </c:spPr>
            <c:extLst>
              <c:ext xmlns:c16="http://schemas.microsoft.com/office/drawing/2014/chart" uri="{C3380CC4-5D6E-409C-BE32-E72D297353CC}">
                <c16:uniqueId val="{0000000F-823E-4D1A-8DA2-75709B72CFF0}"/>
              </c:ext>
            </c:extLst>
          </c:dPt>
          <c:dPt>
            <c:idx val="8"/>
            <c:bubble3D val="0"/>
            <c:spPr>
              <a:solidFill>
                <a:schemeClr val="accent2">
                  <a:lumMod val="60000"/>
                  <a:lumOff val="40000"/>
                </a:schemeClr>
              </a:solidFill>
              <a:ln>
                <a:noFill/>
              </a:ln>
              <a:effectLst/>
            </c:spPr>
            <c:extLst>
              <c:ext xmlns:c16="http://schemas.microsoft.com/office/drawing/2014/chart" uri="{C3380CC4-5D6E-409C-BE32-E72D297353CC}">
                <c16:uniqueId val="{00000011-823E-4D1A-8DA2-75709B72CFF0}"/>
              </c:ext>
            </c:extLst>
          </c:dPt>
          <c:dPt>
            <c:idx val="9"/>
            <c:bubble3D val="0"/>
            <c:spPr>
              <a:solidFill>
                <a:schemeClr val="accent2">
                  <a:lumMod val="75000"/>
                </a:schemeClr>
              </a:solidFill>
              <a:ln>
                <a:noFill/>
              </a:ln>
              <a:effectLst/>
            </c:spPr>
            <c:extLst>
              <c:ext xmlns:c16="http://schemas.microsoft.com/office/drawing/2014/chart" uri="{C3380CC4-5D6E-409C-BE32-E72D297353CC}">
                <c16:uniqueId val="{00000013-823E-4D1A-8DA2-75709B72CFF0}"/>
              </c:ext>
            </c:extLst>
          </c:dPt>
          <c:dLbls>
            <c:dLbl>
              <c:idx val="0"/>
              <c:layout>
                <c:manualLayout>
                  <c:x val="0.28648571350367308"/>
                  <c:y val="-3.00539263097893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23E-4D1A-8DA2-75709B72CFF0}"/>
                </c:ext>
              </c:extLst>
            </c:dLbl>
            <c:dLbl>
              <c:idx val="1"/>
              <c:layout>
                <c:manualLayout>
                  <c:x val="0.26490124491078365"/>
                  <c:y val="1.4197004432064833E-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23E-4D1A-8DA2-75709B72CFF0}"/>
                </c:ext>
              </c:extLst>
            </c:dLbl>
            <c:dLbl>
              <c:idx val="2"/>
              <c:layout>
                <c:manualLayout>
                  <c:x val="0.27388228157170175"/>
                  <c:y val="7.400320021869635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23E-4D1A-8DA2-75709B72CFF0}"/>
                </c:ext>
              </c:extLst>
            </c:dLbl>
            <c:dLbl>
              <c:idx val="3"/>
              <c:layout>
                <c:manualLayout>
                  <c:x val="0.23015305104997411"/>
                  <c:y val="0.1010260713074469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23E-4D1A-8DA2-75709B72CFF0}"/>
                </c:ext>
              </c:extLst>
            </c:dLbl>
            <c:dLbl>
              <c:idx val="4"/>
              <c:layout>
                <c:manualLayout>
                  <c:x val="-0.21569506425865009"/>
                  <c:y val="0.1295052352377274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23E-4D1A-8DA2-75709B72CFF0}"/>
                </c:ext>
              </c:extLst>
            </c:dLbl>
            <c:dLbl>
              <c:idx val="5"/>
              <c:layout>
                <c:manualLayout>
                  <c:x val="-0.27282568804264584"/>
                  <c:y val="0.1461975177464853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823E-4D1A-8DA2-75709B72CFF0}"/>
                </c:ext>
              </c:extLst>
            </c:dLbl>
            <c:dLbl>
              <c:idx val="6"/>
              <c:layout>
                <c:manualLayout>
                  <c:x val="-0.24980714305265317"/>
                  <c:y val="8.03892757511872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823E-4D1A-8DA2-75709B72CFF0}"/>
                </c:ext>
              </c:extLst>
            </c:dLbl>
            <c:dLbl>
              <c:idx val="7"/>
              <c:layout>
                <c:manualLayout>
                  <c:x val="-0.243474843689514"/>
                  <c:y val="-2.999598363144104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823E-4D1A-8DA2-75709B72CFF0}"/>
                </c:ext>
              </c:extLst>
            </c:dLbl>
            <c:dLbl>
              <c:idx val="8"/>
              <c:layout>
                <c:manualLayout>
                  <c:x val="-0.24881367142091859"/>
                  <c:y val="-8.574429377711473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823E-4D1A-8DA2-75709B72CFF0}"/>
                </c:ext>
              </c:extLst>
            </c:dLbl>
            <c:dLbl>
              <c:idx val="9"/>
              <c:layout>
                <c:manualLayout>
                  <c:x val="0.30233461643951165"/>
                  <c:y val="-0.125905973394901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823E-4D1A-8DA2-75709B72CFF0}"/>
                </c:ext>
              </c:extLst>
            </c:dLbl>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showLegendKey val="0"/>
            <c:showVal val="1"/>
            <c:showCatName val="1"/>
            <c:showSerName val="0"/>
            <c:showPercent val="0"/>
            <c:showBubbleSize val="0"/>
            <c:separator>
</c:separator>
            <c:showLeaderLines val="1"/>
            <c:leaderLines>
              <c:spPr>
                <a:ln w="9525" cap="flat" cmpd="sng" algn="ctr">
                  <a:solidFill>
                    <a:schemeClr val="bg2">
                      <a:lumMod val="90000"/>
                    </a:schemeClr>
                  </a:solidFill>
                  <a:round/>
                </a:ln>
                <a:effectLst/>
              </c:spPr>
            </c:leaderLines>
            <c:extLst>
              <c:ext xmlns:c15="http://schemas.microsoft.com/office/drawing/2012/chart" uri="{CE6537A1-D6FC-4f65-9D91-7224C49458BB}"/>
            </c:extLst>
          </c:dLbls>
          <c:cat>
            <c:strRef>
              <c:f>'PIVOT TABLE'!$A$25:$A$35</c:f>
              <c:strCache>
                <c:ptCount val="10"/>
                <c:pt idx="0">
                  <c:v>C.PANT</c:v>
                </c:pt>
                <c:pt idx="1">
                  <c:v>CAP</c:v>
                </c:pt>
                <c:pt idx="2">
                  <c:v>HOODIE</c:v>
                </c:pt>
                <c:pt idx="3">
                  <c:v>JEANS</c:v>
                </c:pt>
                <c:pt idx="4">
                  <c:v>PURSE</c:v>
                </c:pt>
                <c:pt idx="5">
                  <c:v>S.KAMEEZ</c:v>
                </c:pt>
                <c:pt idx="6">
                  <c:v>SHIRT</c:v>
                </c:pt>
                <c:pt idx="7">
                  <c:v>T.SHIRT</c:v>
                </c:pt>
                <c:pt idx="8">
                  <c:v>T.SUIT</c:v>
                </c:pt>
                <c:pt idx="9">
                  <c:v>WALLET</c:v>
                </c:pt>
              </c:strCache>
            </c:strRef>
          </c:cat>
          <c:val>
            <c:numRef>
              <c:f>'PIVOT TABLE'!$B$25:$B$35</c:f>
              <c:numCache>
                <c:formatCode>_-"Rs"* #,##0_-;\-"Rs"* #,##0_-;_-"Rs"* "-"??_-;_-@_-</c:formatCode>
                <c:ptCount val="10"/>
                <c:pt idx="0">
                  <c:v>8893500</c:v>
                </c:pt>
                <c:pt idx="1">
                  <c:v>1155550</c:v>
                </c:pt>
                <c:pt idx="2">
                  <c:v>3079500</c:v>
                </c:pt>
                <c:pt idx="3">
                  <c:v>4358200</c:v>
                </c:pt>
                <c:pt idx="4">
                  <c:v>4375800</c:v>
                </c:pt>
                <c:pt idx="5">
                  <c:v>4007500</c:v>
                </c:pt>
                <c:pt idx="6">
                  <c:v>2600400</c:v>
                </c:pt>
                <c:pt idx="7">
                  <c:v>2254800</c:v>
                </c:pt>
                <c:pt idx="8">
                  <c:v>3740000</c:v>
                </c:pt>
                <c:pt idx="9">
                  <c:v>1079650</c:v>
                </c:pt>
              </c:numCache>
            </c:numRef>
          </c:val>
          <c:extLst>
            <c:ext xmlns:c16="http://schemas.microsoft.com/office/drawing/2014/chart" uri="{C3380CC4-5D6E-409C-BE32-E72D297353CC}">
              <c16:uniqueId val="{00000014-823E-4D1A-8DA2-75709B72CF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Sales 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solidFill>
                  <a:schemeClr val="tx1">
                    <a:lumMod val="65000"/>
                    <a:lumOff val="35000"/>
                  </a:schemeClr>
                </a:solidFill>
              </a:rPr>
              <a:t>SALES</a:t>
            </a:r>
            <a:r>
              <a:rPr lang="en-US" sz="1100" b="1" u="sng" baseline="0">
                <a:solidFill>
                  <a:schemeClr val="tx1">
                    <a:lumMod val="65000"/>
                    <a:lumOff val="35000"/>
                  </a:schemeClr>
                </a:solidFill>
              </a:rPr>
              <a:t> BY AREA</a:t>
            </a:r>
            <a:r>
              <a:rPr lang="en-US" baseline="0"/>
              <a:t>.</a:t>
            </a:r>
            <a:endParaRPr lang="en-US"/>
          </a:p>
        </c:rich>
      </c:tx>
      <c:layout>
        <c:manualLayout>
          <c:xMode val="edge"/>
          <c:yMode val="edge"/>
          <c:x val="0.3655138276337631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Lst>
        </c:dLbl>
      </c:pivotFmt>
      <c:pivotFmt>
        <c:idx val="14"/>
        <c:spPr>
          <a:solidFill>
            <a:schemeClr val="accent2">
              <a:lumMod val="60000"/>
              <a:lumOff val="40000"/>
            </a:schemeClr>
          </a:solidFill>
          <a:ln w="19050">
            <a:solidFill>
              <a:schemeClr val="lt1"/>
            </a:solidFill>
          </a:ln>
          <a:effectLst/>
        </c:spPr>
        <c:dLbl>
          <c:idx val="0"/>
          <c:layout>
            <c:manualLayout>
              <c:x val="0.10259198668281917"/>
              <c:y val="0.129260349886393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6.3677784837611898E-2"/>
              <c:y val="0.211986973813685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F1995D"/>
          </a:solidFill>
          <a:ln w="19050">
            <a:solidFill>
              <a:schemeClr val="lt1"/>
            </a:solidFill>
          </a:ln>
          <a:effectLst/>
        </c:spPr>
        <c:dLbl>
          <c:idx val="0"/>
          <c:layout>
            <c:manualLayout>
              <c:x val="5.6602475411210579E-2"/>
              <c:y val="8.272662392729177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2">
              <a:lumMod val="40000"/>
              <a:lumOff val="60000"/>
            </a:schemeClr>
          </a:solidFill>
          <a:ln w="19050">
            <a:solidFill>
              <a:schemeClr val="lt1"/>
            </a:solidFill>
          </a:ln>
          <a:effectLst/>
        </c:spPr>
        <c:dLbl>
          <c:idx val="0"/>
          <c:layout>
            <c:manualLayout>
              <c:x val="0.19103335451283571"/>
              <c:y val="3.619289796819005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2">
              <a:lumMod val="60000"/>
              <a:lumOff val="40000"/>
            </a:schemeClr>
          </a:solidFill>
          <a:ln w="19050">
            <a:solidFill>
              <a:schemeClr val="lt1"/>
            </a:solidFill>
          </a:ln>
          <a:effectLst/>
        </c:spPr>
        <c:dLbl>
          <c:idx val="0"/>
          <c:layout>
            <c:manualLayout>
              <c:x val="-2.1225928279203967E-2"/>
              <c:y val="0.1085786939045703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2">
              <a:lumMod val="75000"/>
            </a:schemeClr>
          </a:solidFill>
          <a:ln w="19050">
            <a:solidFill>
              <a:schemeClr val="lt1"/>
            </a:solidFill>
          </a:ln>
          <a:effectLst/>
        </c:spPr>
        <c:dLbl>
          <c:idx val="0"/>
          <c:layout>
            <c:manualLayout>
              <c:x val="-0.13443087910162513"/>
              <c:y val="6.20449679454688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rgbClr val="F1995D"/>
          </a:solidFill>
          <a:ln w="19050">
            <a:solidFill>
              <a:schemeClr val="lt1"/>
            </a:solidFill>
          </a:ln>
          <a:effectLst/>
        </c:spPr>
        <c:dLbl>
          <c:idx val="0"/>
          <c:layout>
            <c:manualLayout>
              <c:x val="-9.9054331969618506E-2"/>
              <c:y val="-8.789703792274750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2">
              <a:lumMod val="50000"/>
            </a:schemeClr>
          </a:solidFill>
          <a:ln w="19050">
            <a:solidFill>
              <a:schemeClr val="lt1"/>
            </a:solidFill>
          </a:ln>
          <a:effectLst/>
        </c:spPr>
        <c:dLbl>
          <c:idx val="0"/>
          <c:layout>
            <c:manualLayout>
              <c:x val="-0.1273235174881138"/>
              <c:y val="-2.02283940214068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rgbClr val="F1995D"/>
          </a:solidFill>
          <a:ln w="19050">
            <a:solidFill>
              <a:schemeClr val="lt1"/>
            </a:solidFill>
          </a:ln>
          <a:effectLst/>
        </c:spPr>
        <c:dLbl>
          <c:idx val="0"/>
          <c:layout>
            <c:manualLayout>
              <c:x val="-0.14155425621652018"/>
              <c:y val="-3.8381943274082744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2">
              <a:lumMod val="75000"/>
            </a:schemeClr>
          </a:solidFill>
          <a:ln w="19050">
            <a:solidFill>
              <a:schemeClr val="lt1"/>
            </a:solidFill>
          </a:ln>
          <a:effectLst/>
        </c:spPr>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Lst>
        </c:dLbl>
      </c:pivotFmt>
      <c:pivotFmt>
        <c:idx val="25"/>
        <c:spPr>
          <a:solidFill>
            <a:schemeClr val="accent2">
              <a:lumMod val="60000"/>
              <a:lumOff val="40000"/>
            </a:schemeClr>
          </a:solidFill>
          <a:ln w="19050">
            <a:solidFill>
              <a:schemeClr val="lt1"/>
            </a:solidFill>
          </a:ln>
          <a:effectLst/>
        </c:spPr>
        <c:dLbl>
          <c:idx val="0"/>
          <c:layout>
            <c:manualLayout>
              <c:x val="0.10259198668281917"/>
              <c:y val="0.129260349886393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2">
              <a:lumMod val="40000"/>
              <a:lumOff val="60000"/>
            </a:schemeClr>
          </a:solidFill>
          <a:ln w="19050">
            <a:solidFill>
              <a:schemeClr val="lt1"/>
            </a:solidFill>
          </a:ln>
          <a:effectLst/>
        </c:spPr>
        <c:dLbl>
          <c:idx val="0"/>
          <c:layout>
            <c:manualLayout>
              <c:x val="6.3677784837611898E-2"/>
              <c:y val="0.211986973813685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rgbClr val="F1995D"/>
          </a:solidFill>
          <a:ln w="19050">
            <a:solidFill>
              <a:schemeClr val="lt1"/>
            </a:solidFill>
          </a:ln>
          <a:effectLst/>
        </c:spPr>
        <c:dLbl>
          <c:idx val="0"/>
          <c:layout>
            <c:manualLayout>
              <c:x val="5.6602475411210579E-2"/>
              <c:y val="8.272662392729177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8"/>
        <c:spPr>
          <a:solidFill>
            <a:schemeClr val="accent2">
              <a:lumMod val="40000"/>
              <a:lumOff val="60000"/>
            </a:schemeClr>
          </a:solidFill>
          <a:ln w="19050">
            <a:solidFill>
              <a:schemeClr val="lt1"/>
            </a:solidFill>
          </a:ln>
          <a:effectLst/>
        </c:spPr>
        <c:dLbl>
          <c:idx val="0"/>
          <c:layout>
            <c:manualLayout>
              <c:x val="0.19103335451283571"/>
              <c:y val="3.619289796819005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2">
              <a:lumMod val="60000"/>
              <a:lumOff val="40000"/>
            </a:schemeClr>
          </a:solidFill>
          <a:ln w="19050">
            <a:solidFill>
              <a:schemeClr val="lt1"/>
            </a:solidFill>
          </a:ln>
          <a:effectLst/>
        </c:spPr>
        <c:dLbl>
          <c:idx val="0"/>
          <c:layout>
            <c:manualLayout>
              <c:x val="-2.1225928279203967E-2"/>
              <c:y val="0.1085786939045703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spPr>
          <a:solidFill>
            <a:schemeClr val="accent2">
              <a:lumMod val="75000"/>
            </a:schemeClr>
          </a:solidFill>
          <a:ln w="19050">
            <a:solidFill>
              <a:schemeClr val="lt1"/>
            </a:solidFill>
          </a:ln>
          <a:effectLst/>
        </c:spPr>
        <c:dLbl>
          <c:idx val="0"/>
          <c:layout>
            <c:manualLayout>
              <c:x val="-0.13443087910162513"/>
              <c:y val="6.20449679454688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rgbClr val="F1995D"/>
          </a:solidFill>
          <a:ln w="19050">
            <a:solidFill>
              <a:schemeClr val="lt1"/>
            </a:solidFill>
          </a:ln>
          <a:effectLst/>
        </c:spPr>
        <c:dLbl>
          <c:idx val="0"/>
          <c:layout>
            <c:manualLayout>
              <c:x val="-9.9054331969618506E-2"/>
              <c:y val="-8.789703792274750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2">
              <a:lumMod val="50000"/>
            </a:schemeClr>
          </a:solidFill>
          <a:ln w="19050">
            <a:solidFill>
              <a:schemeClr val="lt1"/>
            </a:solidFill>
          </a:ln>
          <a:effectLst/>
        </c:spPr>
        <c:dLbl>
          <c:idx val="0"/>
          <c:layout>
            <c:manualLayout>
              <c:x val="-0.1273235174881138"/>
              <c:y val="-2.02283940214068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rgbClr val="F1995D"/>
          </a:solidFill>
          <a:ln w="19050">
            <a:solidFill>
              <a:schemeClr val="lt1"/>
            </a:solidFill>
          </a:ln>
          <a:effectLst/>
        </c:spPr>
        <c:dLbl>
          <c:idx val="0"/>
          <c:layout>
            <c:manualLayout>
              <c:x val="-0.14155425621652018"/>
              <c:y val="-3.8381943274082744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spPr>
          <a:solidFill>
            <a:schemeClr val="accent2">
              <a:lumMod val="75000"/>
            </a:schemeClr>
          </a:solidFill>
          <a:ln w="19050">
            <a:solidFill>
              <a:schemeClr val="lt1"/>
            </a:solidFill>
          </a:ln>
          <a:effectLst/>
        </c:spPr>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Lst>
        </c:dLbl>
      </c:pivotFmt>
      <c:pivotFmt>
        <c:idx val="36"/>
        <c:spPr>
          <a:solidFill>
            <a:schemeClr val="accent2">
              <a:lumMod val="60000"/>
              <a:lumOff val="40000"/>
            </a:schemeClr>
          </a:solidFill>
          <a:ln w="19050">
            <a:solidFill>
              <a:schemeClr val="lt1"/>
            </a:solidFill>
          </a:ln>
          <a:effectLst/>
        </c:spPr>
        <c:dLbl>
          <c:idx val="0"/>
          <c:layout>
            <c:manualLayout>
              <c:x val="0.10259198668281917"/>
              <c:y val="0.129260349886393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chemeClr val="accent2">
              <a:lumMod val="40000"/>
              <a:lumOff val="60000"/>
            </a:schemeClr>
          </a:solidFill>
          <a:ln w="19050">
            <a:solidFill>
              <a:schemeClr val="lt1"/>
            </a:solidFill>
          </a:ln>
          <a:effectLst/>
        </c:spPr>
        <c:dLbl>
          <c:idx val="0"/>
          <c:layout>
            <c:manualLayout>
              <c:x val="6.3677784837611898E-2"/>
              <c:y val="0.211986973813685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rgbClr val="F1995D"/>
          </a:solidFill>
          <a:ln w="19050">
            <a:solidFill>
              <a:schemeClr val="lt1"/>
            </a:solidFill>
          </a:ln>
          <a:effectLst/>
        </c:spPr>
        <c:dLbl>
          <c:idx val="0"/>
          <c:layout>
            <c:manualLayout>
              <c:x val="5.6602475411210579E-2"/>
              <c:y val="8.272662392729177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chemeClr val="accent2">
              <a:lumMod val="40000"/>
              <a:lumOff val="60000"/>
            </a:schemeClr>
          </a:solidFill>
          <a:ln w="19050">
            <a:solidFill>
              <a:schemeClr val="lt1"/>
            </a:solidFill>
          </a:ln>
          <a:effectLst/>
        </c:spPr>
        <c:dLbl>
          <c:idx val="0"/>
          <c:layout>
            <c:manualLayout>
              <c:x val="0.19103335451283571"/>
              <c:y val="3.619289796819005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2">
              <a:lumMod val="60000"/>
              <a:lumOff val="40000"/>
            </a:schemeClr>
          </a:solidFill>
          <a:ln w="19050">
            <a:solidFill>
              <a:schemeClr val="lt1"/>
            </a:solidFill>
          </a:ln>
          <a:effectLst/>
        </c:spPr>
        <c:dLbl>
          <c:idx val="0"/>
          <c:layout>
            <c:manualLayout>
              <c:x val="-2.1225928279203967E-2"/>
              <c:y val="0.1085786939045703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chemeClr val="accent2">
              <a:lumMod val="75000"/>
            </a:schemeClr>
          </a:solidFill>
          <a:ln w="19050">
            <a:solidFill>
              <a:schemeClr val="lt1"/>
            </a:solidFill>
          </a:ln>
          <a:effectLst/>
        </c:spPr>
        <c:dLbl>
          <c:idx val="0"/>
          <c:layout>
            <c:manualLayout>
              <c:x val="-0.13443087910162513"/>
              <c:y val="6.20449679454688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rgbClr val="F1995D"/>
          </a:solidFill>
          <a:ln w="19050">
            <a:solidFill>
              <a:schemeClr val="lt1"/>
            </a:solidFill>
          </a:ln>
          <a:effectLst/>
        </c:spPr>
        <c:dLbl>
          <c:idx val="0"/>
          <c:layout>
            <c:manualLayout>
              <c:x val="-9.9054331969618506E-2"/>
              <c:y val="-8.789703792274750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chemeClr val="accent2">
              <a:lumMod val="50000"/>
            </a:schemeClr>
          </a:solidFill>
          <a:ln w="19050">
            <a:solidFill>
              <a:schemeClr val="lt1"/>
            </a:solidFill>
          </a:ln>
          <a:effectLst/>
        </c:spPr>
        <c:dLbl>
          <c:idx val="0"/>
          <c:layout>
            <c:manualLayout>
              <c:x val="-0.1273235174881138"/>
              <c:y val="-2.02283940214068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4"/>
        <c:spPr>
          <a:solidFill>
            <a:srgbClr val="F1995D"/>
          </a:solidFill>
          <a:ln w="19050">
            <a:solidFill>
              <a:schemeClr val="lt1"/>
            </a:solidFill>
          </a:ln>
          <a:effectLst/>
        </c:spPr>
        <c:dLbl>
          <c:idx val="0"/>
          <c:layout>
            <c:manualLayout>
              <c:x val="-0.14155425621652018"/>
              <c:y val="-3.8381943274082744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spPr>
          <a:solidFill>
            <a:schemeClr val="accent2">
              <a:lumMod val="75000"/>
            </a:schemeClr>
          </a:solidFill>
          <a:ln w="19050">
            <a:solidFill>
              <a:schemeClr val="lt1"/>
            </a:solidFill>
          </a:ln>
          <a:effectLst/>
        </c:spPr>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Lst>
        </c:dLbl>
      </c:pivotFmt>
      <c:pivotFmt>
        <c:idx val="47"/>
        <c:spPr>
          <a:solidFill>
            <a:schemeClr val="accent2">
              <a:lumMod val="60000"/>
              <a:lumOff val="40000"/>
            </a:schemeClr>
          </a:solidFill>
          <a:ln w="19050">
            <a:solidFill>
              <a:schemeClr val="lt1"/>
            </a:solidFill>
          </a:ln>
          <a:effectLst/>
        </c:spPr>
        <c:dLbl>
          <c:idx val="0"/>
          <c:layout>
            <c:manualLayout>
              <c:x val="0.10259198668281917"/>
              <c:y val="0.129260349886393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spPr>
          <a:solidFill>
            <a:schemeClr val="accent2">
              <a:lumMod val="40000"/>
              <a:lumOff val="60000"/>
            </a:schemeClr>
          </a:solidFill>
          <a:ln w="19050">
            <a:solidFill>
              <a:schemeClr val="lt1"/>
            </a:solidFill>
          </a:ln>
          <a:effectLst/>
        </c:spPr>
        <c:dLbl>
          <c:idx val="0"/>
          <c:layout>
            <c:manualLayout>
              <c:x val="6.3677784837611898E-2"/>
              <c:y val="0.211986973813685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9"/>
        <c:spPr>
          <a:solidFill>
            <a:srgbClr val="F1995D"/>
          </a:solidFill>
          <a:ln w="19050">
            <a:solidFill>
              <a:schemeClr val="lt1"/>
            </a:solidFill>
          </a:ln>
          <a:effectLst/>
        </c:spPr>
        <c:dLbl>
          <c:idx val="0"/>
          <c:layout>
            <c:manualLayout>
              <c:x val="5.6602475411210579E-2"/>
              <c:y val="8.272662392729177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chemeClr val="accent2">
              <a:lumMod val="40000"/>
              <a:lumOff val="60000"/>
            </a:schemeClr>
          </a:solidFill>
          <a:ln w="19050">
            <a:solidFill>
              <a:schemeClr val="lt1"/>
            </a:solidFill>
          </a:ln>
          <a:effectLst/>
        </c:spPr>
        <c:dLbl>
          <c:idx val="0"/>
          <c:layout>
            <c:manualLayout>
              <c:x val="0.19103335451283571"/>
              <c:y val="3.619289796819005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1"/>
        <c:spPr>
          <a:solidFill>
            <a:schemeClr val="accent2">
              <a:lumMod val="60000"/>
              <a:lumOff val="40000"/>
            </a:schemeClr>
          </a:solidFill>
          <a:ln w="19050">
            <a:solidFill>
              <a:schemeClr val="lt1"/>
            </a:solidFill>
          </a:ln>
          <a:effectLst/>
        </c:spPr>
        <c:dLbl>
          <c:idx val="0"/>
          <c:layout>
            <c:manualLayout>
              <c:x val="-2.1225928279203967E-2"/>
              <c:y val="0.1085786939045703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2"/>
        <c:spPr>
          <a:solidFill>
            <a:schemeClr val="accent2">
              <a:lumMod val="75000"/>
            </a:schemeClr>
          </a:solidFill>
          <a:ln w="19050">
            <a:solidFill>
              <a:schemeClr val="lt1"/>
            </a:solidFill>
          </a:ln>
          <a:effectLst/>
        </c:spPr>
        <c:dLbl>
          <c:idx val="0"/>
          <c:layout>
            <c:manualLayout>
              <c:x val="-0.13443087910162513"/>
              <c:y val="6.20449679454688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3"/>
        <c:spPr>
          <a:solidFill>
            <a:srgbClr val="F1995D"/>
          </a:solidFill>
          <a:ln w="19050">
            <a:solidFill>
              <a:schemeClr val="lt1"/>
            </a:solidFill>
          </a:ln>
          <a:effectLst/>
        </c:spPr>
        <c:dLbl>
          <c:idx val="0"/>
          <c:layout>
            <c:manualLayout>
              <c:x val="-9.9054331969618506E-2"/>
              <c:y val="-8.789703792274750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dLbl>
          <c:idx val="0"/>
          <c:layout>
            <c:manualLayout>
              <c:x val="-0.1273235174881138"/>
              <c:y val="-2.02283940214068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5"/>
        <c:spPr>
          <a:solidFill>
            <a:srgbClr val="F1995D"/>
          </a:solidFill>
          <a:ln w="19050">
            <a:solidFill>
              <a:schemeClr val="lt1"/>
            </a:solidFill>
          </a:ln>
          <a:effectLst/>
        </c:spPr>
        <c:dLbl>
          <c:idx val="0"/>
          <c:layout>
            <c:manualLayout>
              <c:x val="-0.14155425621652018"/>
              <c:y val="-3.8381943274082744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7"/>
        <c:spPr>
          <a:solidFill>
            <a:schemeClr val="accent2">
              <a:lumMod val="75000"/>
            </a:schemeClr>
          </a:solidFill>
          <a:ln w="19050">
            <a:solidFill>
              <a:schemeClr val="lt1"/>
            </a:solidFill>
          </a:ln>
          <a:effectLst/>
        </c:spPr>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Lst>
        </c:dLbl>
      </c:pivotFmt>
      <c:pivotFmt>
        <c:idx val="58"/>
        <c:spPr>
          <a:solidFill>
            <a:schemeClr val="accent2">
              <a:lumMod val="60000"/>
              <a:lumOff val="40000"/>
            </a:schemeClr>
          </a:solidFill>
          <a:ln w="19050">
            <a:solidFill>
              <a:schemeClr val="lt1"/>
            </a:solidFill>
          </a:ln>
          <a:effectLst/>
        </c:spPr>
        <c:dLbl>
          <c:idx val="0"/>
          <c:layout>
            <c:manualLayout>
              <c:x val="0.10259198668281917"/>
              <c:y val="0.1292603498863933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9"/>
        <c:spPr>
          <a:solidFill>
            <a:schemeClr val="accent2">
              <a:lumMod val="40000"/>
              <a:lumOff val="60000"/>
            </a:schemeClr>
          </a:solidFill>
          <a:ln w="19050">
            <a:solidFill>
              <a:schemeClr val="lt1"/>
            </a:solidFill>
          </a:ln>
          <a:effectLst/>
        </c:spPr>
        <c:dLbl>
          <c:idx val="0"/>
          <c:layout>
            <c:manualLayout>
              <c:x val="6.3677784837611898E-2"/>
              <c:y val="0.21198697381368514"/>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0"/>
        <c:spPr>
          <a:solidFill>
            <a:srgbClr val="F1995D"/>
          </a:solidFill>
          <a:ln w="19050">
            <a:solidFill>
              <a:schemeClr val="lt1"/>
            </a:solidFill>
          </a:ln>
          <a:effectLst/>
        </c:spPr>
        <c:dLbl>
          <c:idx val="0"/>
          <c:layout>
            <c:manualLayout>
              <c:x val="5.6602475411210579E-2"/>
              <c:y val="8.272662392729177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1"/>
        <c:spPr>
          <a:solidFill>
            <a:schemeClr val="accent2">
              <a:lumMod val="40000"/>
              <a:lumOff val="60000"/>
            </a:schemeClr>
          </a:solidFill>
          <a:ln w="19050">
            <a:solidFill>
              <a:schemeClr val="lt1"/>
            </a:solidFill>
          </a:ln>
          <a:effectLst/>
        </c:spPr>
        <c:dLbl>
          <c:idx val="0"/>
          <c:layout>
            <c:manualLayout>
              <c:x val="0.19103335451283571"/>
              <c:y val="3.619289796819005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2"/>
        <c:spPr>
          <a:solidFill>
            <a:schemeClr val="accent2">
              <a:lumMod val="60000"/>
              <a:lumOff val="40000"/>
            </a:schemeClr>
          </a:solidFill>
          <a:ln w="19050">
            <a:solidFill>
              <a:schemeClr val="lt1"/>
            </a:solidFill>
          </a:ln>
          <a:effectLst/>
        </c:spPr>
        <c:dLbl>
          <c:idx val="0"/>
          <c:layout>
            <c:manualLayout>
              <c:x val="-2.1225928279203967E-2"/>
              <c:y val="0.10857869390457035"/>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3"/>
        <c:spPr>
          <a:solidFill>
            <a:schemeClr val="accent2">
              <a:lumMod val="75000"/>
            </a:schemeClr>
          </a:solidFill>
          <a:ln w="19050">
            <a:solidFill>
              <a:schemeClr val="lt1"/>
            </a:solidFill>
          </a:ln>
          <a:effectLst/>
        </c:spPr>
        <c:dLbl>
          <c:idx val="0"/>
          <c:layout>
            <c:manualLayout>
              <c:x val="-0.13443087910162513"/>
              <c:y val="6.204496794546882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4"/>
        <c:spPr>
          <a:solidFill>
            <a:srgbClr val="F1995D"/>
          </a:solidFill>
          <a:ln w="19050">
            <a:solidFill>
              <a:schemeClr val="lt1"/>
            </a:solidFill>
          </a:ln>
          <a:effectLst/>
        </c:spPr>
        <c:dLbl>
          <c:idx val="0"/>
          <c:layout>
            <c:manualLayout>
              <c:x val="-9.9054331969618506E-2"/>
              <c:y val="-8.7897037922747501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5"/>
        <c:spPr>
          <a:solidFill>
            <a:schemeClr val="accent2">
              <a:lumMod val="50000"/>
            </a:schemeClr>
          </a:solidFill>
          <a:ln w="19050">
            <a:solidFill>
              <a:schemeClr val="lt1"/>
            </a:solidFill>
          </a:ln>
          <a:effectLst/>
        </c:spPr>
        <c:dLbl>
          <c:idx val="0"/>
          <c:layout>
            <c:manualLayout>
              <c:x val="-0.1273235174881138"/>
              <c:y val="-2.022839402140688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6"/>
        <c:spPr>
          <a:solidFill>
            <a:srgbClr val="F1995D"/>
          </a:solidFill>
          <a:ln w="19050">
            <a:solidFill>
              <a:schemeClr val="lt1"/>
            </a:solidFill>
          </a:ln>
          <a:effectLst/>
        </c:spPr>
        <c:dLbl>
          <c:idx val="0"/>
          <c:layout>
            <c:manualLayout>
              <c:x val="-0.14155425621652018"/>
              <c:y val="-3.8381943274082744E-2"/>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9854713813483147"/>
          <c:y val="0.18600706840376291"/>
          <c:w val="0.42750161631822625"/>
          <c:h val="0.62480951909857296"/>
        </c:manualLayout>
      </c:layout>
      <c:pieChart>
        <c:varyColors val="1"/>
        <c:ser>
          <c:idx val="0"/>
          <c:order val="0"/>
          <c:tx>
            <c:strRef>
              <c:f>'PIVOT TABLE'!$E$24</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EC48-480F-B707-5145A4C3227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C48-480F-B707-5145A4C32277}"/>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EC48-480F-B707-5145A4C32277}"/>
              </c:ext>
            </c:extLst>
          </c:dPt>
          <c:dPt>
            <c:idx val="3"/>
            <c:bubble3D val="0"/>
            <c:spPr>
              <a:solidFill>
                <a:srgbClr val="F1995D"/>
              </a:solidFill>
              <a:ln w="19050">
                <a:solidFill>
                  <a:schemeClr val="lt1"/>
                </a:solidFill>
              </a:ln>
              <a:effectLst/>
            </c:spPr>
            <c:extLst>
              <c:ext xmlns:c16="http://schemas.microsoft.com/office/drawing/2014/chart" uri="{C3380CC4-5D6E-409C-BE32-E72D297353CC}">
                <c16:uniqueId val="{00000007-EC48-480F-B707-5145A4C32277}"/>
              </c:ext>
            </c:extLst>
          </c:dPt>
          <c:dPt>
            <c:idx val="4"/>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9-EC48-480F-B707-5145A4C32277}"/>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EC48-480F-B707-5145A4C32277}"/>
              </c:ext>
            </c:extLst>
          </c:dPt>
          <c:dPt>
            <c:idx val="6"/>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D-EC48-480F-B707-5145A4C32277}"/>
              </c:ext>
            </c:extLst>
          </c:dPt>
          <c:dPt>
            <c:idx val="7"/>
            <c:bubble3D val="0"/>
            <c:spPr>
              <a:solidFill>
                <a:srgbClr val="F1995D"/>
              </a:solidFill>
              <a:ln w="19050">
                <a:solidFill>
                  <a:schemeClr val="lt1"/>
                </a:solidFill>
              </a:ln>
              <a:effectLst/>
            </c:spPr>
            <c:extLst>
              <c:ext xmlns:c16="http://schemas.microsoft.com/office/drawing/2014/chart" uri="{C3380CC4-5D6E-409C-BE32-E72D297353CC}">
                <c16:uniqueId val="{0000000F-EC48-480F-B707-5145A4C32277}"/>
              </c:ext>
            </c:extLst>
          </c:dPt>
          <c:dPt>
            <c:idx val="8"/>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1-EC48-480F-B707-5145A4C32277}"/>
              </c:ext>
            </c:extLst>
          </c:dPt>
          <c:dPt>
            <c:idx val="9"/>
            <c:bubble3D val="0"/>
            <c:spPr>
              <a:solidFill>
                <a:srgbClr val="F1995D"/>
              </a:solidFill>
              <a:ln w="19050">
                <a:solidFill>
                  <a:schemeClr val="lt1"/>
                </a:solidFill>
              </a:ln>
              <a:effectLst/>
            </c:spPr>
            <c:extLst>
              <c:ext xmlns:c16="http://schemas.microsoft.com/office/drawing/2014/chart" uri="{C3380CC4-5D6E-409C-BE32-E72D297353CC}">
                <c16:uniqueId val="{00000013-EC48-480F-B707-5145A4C32277}"/>
              </c:ext>
            </c:extLst>
          </c:dPt>
          <c:dLbls>
            <c:dLbl>
              <c:idx val="0"/>
              <c:layout>
                <c:manualLayout>
                  <c:x val="0.11320509010016577"/>
                  <c:y val="-5.17041399545574E-3"/>
                </c:manualLayout>
              </c:layout>
              <c:numFmt formatCode="&quot;Rs&quot;\ 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072584039494709"/>
                      <c:h val="0.1755616107753056"/>
                    </c:manualLayout>
                  </c15:layout>
                </c:ext>
                <c:ext xmlns:c16="http://schemas.microsoft.com/office/drawing/2014/chart" uri="{C3380CC4-5D6E-409C-BE32-E72D297353CC}">
                  <c16:uniqueId val="{00000001-EC48-480F-B707-5145A4C32277}"/>
                </c:ext>
              </c:extLst>
            </c:dLbl>
            <c:dLbl>
              <c:idx val="1"/>
              <c:layout>
                <c:manualLayout>
                  <c:x val="0.10259198668281917"/>
                  <c:y val="0.1292603498863933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C48-480F-B707-5145A4C32277}"/>
                </c:ext>
              </c:extLst>
            </c:dLbl>
            <c:dLbl>
              <c:idx val="2"/>
              <c:layout>
                <c:manualLayout>
                  <c:x val="6.3677784837611898E-2"/>
                  <c:y val="0.2119869738136851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C48-480F-B707-5145A4C32277}"/>
                </c:ext>
              </c:extLst>
            </c:dLbl>
            <c:dLbl>
              <c:idx val="3"/>
              <c:layout>
                <c:manualLayout>
                  <c:x val="5.6602475411210579E-2"/>
                  <c:y val="8.27266239272917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EC48-480F-B707-5145A4C32277}"/>
                </c:ext>
              </c:extLst>
            </c:dLbl>
            <c:dLbl>
              <c:idx val="4"/>
              <c:layout>
                <c:manualLayout>
                  <c:x val="0.19103335451283571"/>
                  <c:y val="3.619289796819005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EC48-480F-B707-5145A4C32277}"/>
                </c:ext>
              </c:extLst>
            </c:dLbl>
            <c:dLbl>
              <c:idx val="5"/>
              <c:layout>
                <c:manualLayout>
                  <c:x val="-2.1225928279203967E-2"/>
                  <c:y val="0.10857869390457035"/>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EC48-480F-B707-5145A4C32277}"/>
                </c:ext>
              </c:extLst>
            </c:dLbl>
            <c:dLbl>
              <c:idx val="6"/>
              <c:layout>
                <c:manualLayout>
                  <c:x val="-0.13443087910162513"/>
                  <c:y val="6.204496794546882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EC48-480F-B707-5145A4C32277}"/>
                </c:ext>
              </c:extLst>
            </c:dLbl>
            <c:dLbl>
              <c:idx val="7"/>
              <c:layout>
                <c:manualLayout>
                  <c:x val="-9.9054331969618506E-2"/>
                  <c:y val="-8.789703792274750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EC48-480F-B707-5145A4C32277}"/>
                </c:ext>
              </c:extLst>
            </c:dLbl>
            <c:dLbl>
              <c:idx val="8"/>
              <c:layout>
                <c:manualLayout>
                  <c:x val="-0.1273235174881138"/>
                  <c:y val="-2.02283940214068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EC48-480F-B707-5145A4C32277}"/>
                </c:ext>
              </c:extLst>
            </c:dLbl>
            <c:dLbl>
              <c:idx val="9"/>
              <c:layout>
                <c:manualLayout>
                  <c:x val="-0.14155425621652018"/>
                  <c:y val="-3.838194327408274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EC48-480F-B707-5145A4C32277}"/>
                </c:ext>
              </c:extLst>
            </c:dLbl>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1"/>
            <c:showSerName val="0"/>
            <c:showPercent val="0"/>
            <c:showBubbleSize val="0"/>
            <c:separator>
</c:separator>
            <c:showLeaderLines val="1"/>
            <c:leaderLines>
              <c:spPr>
                <a:ln w="9525" cap="flat" cmpd="sng" algn="ctr">
                  <a:solidFill>
                    <a:schemeClr val="bg2">
                      <a:lumMod val="90000"/>
                    </a:schemeClr>
                  </a:solidFill>
                  <a:round/>
                </a:ln>
                <a:effectLst/>
              </c:spPr>
            </c:leaderLines>
            <c:extLst>
              <c:ext xmlns:c15="http://schemas.microsoft.com/office/drawing/2012/chart" uri="{CE6537A1-D6FC-4f65-9D91-7224C49458BB}"/>
            </c:extLst>
          </c:dLbls>
          <c:cat>
            <c:strRef>
              <c:f>'PIVOT TABLE'!$D$25:$D$35</c:f>
              <c:strCache>
                <c:ptCount val="10"/>
                <c:pt idx="0">
                  <c:v>BAHADURABAD</c:v>
                </c:pt>
                <c:pt idx="1">
                  <c:v>DEFENCE</c:v>
                </c:pt>
                <c:pt idx="2">
                  <c:v>GARDEN</c:v>
                </c:pt>
                <c:pt idx="3">
                  <c:v>GULSHAN</c:v>
                </c:pt>
                <c:pt idx="4">
                  <c:v>JOHAR</c:v>
                </c:pt>
                <c:pt idx="5">
                  <c:v>KORANGI</c:v>
                </c:pt>
                <c:pt idx="6">
                  <c:v>MALIR</c:v>
                </c:pt>
                <c:pt idx="7">
                  <c:v>NAZIMABAD</c:v>
                </c:pt>
                <c:pt idx="8">
                  <c:v>ORANGI</c:v>
                </c:pt>
                <c:pt idx="9">
                  <c:v>TARIQ ROAD</c:v>
                </c:pt>
              </c:strCache>
            </c:strRef>
          </c:cat>
          <c:val>
            <c:numRef>
              <c:f>'PIVOT TABLE'!$E$25:$E$35</c:f>
              <c:numCache>
                <c:formatCode>_-"Rs"* #,##0_-;\-"Rs"* #,##0_-;_-"Rs"* "-"??_-;_-@_-</c:formatCode>
                <c:ptCount val="10"/>
                <c:pt idx="0">
                  <c:v>3814800</c:v>
                </c:pt>
                <c:pt idx="1">
                  <c:v>2209200</c:v>
                </c:pt>
                <c:pt idx="2">
                  <c:v>2542800</c:v>
                </c:pt>
                <c:pt idx="3">
                  <c:v>8939100</c:v>
                </c:pt>
                <c:pt idx="4">
                  <c:v>4013000</c:v>
                </c:pt>
                <c:pt idx="5">
                  <c:v>1150050</c:v>
                </c:pt>
                <c:pt idx="6">
                  <c:v>1039350</c:v>
                </c:pt>
                <c:pt idx="7">
                  <c:v>3137100</c:v>
                </c:pt>
                <c:pt idx="8">
                  <c:v>4301000</c:v>
                </c:pt>
                <c:pt idx="9">
                  <c:v>4398500</c:v>
                </c:pt>
              </c:numCache>
            </c:numRef>
          </c:val>
          <c:extLst>
            <c:ext xmlns:c16="http://schemas.microsoft.com/office/drawing/2014/chart" uri="{C3380CC4-5D6E-409C-BE32-E72D297353CC}">
              <c16:uniqueId val="{00000014-EC48-480F-B707-5145A4C3227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Sales Dashboard.xlsx]PIVOT TABLE!PivotTable1</c:name>
    <c:fmtId val="12"/>
  </c:pivotSource>
  <c:chart>
    <c:title>
      <c:tx>
        <c:rich>
          <a:bodyPr rot="0" spcFirstLastPara="1" vertOverflow="ellipsis" vert="horz" wrap="square" anchor="ctr" anchorCtr="1"/>
          <a:lstStyle/>
          <a:p>
            <a:pPr>
              <a:defRPr sz="1400" b="0" i="0" u="none" strike="noStrike" kern="1200" spc="0" baseline="0">
                <a:ln>
                  <a:solidFill>
                    <a:schemeClr val="bg1">
                      <a:alpha val="0"/>
                    </a:schemeClr>
                  </a:solidFill>
                </a:ln>
                <a:solidFill>
                  <a:schemeClr val="tx1">
                    <a:lumMod val="65000"/>
                    <a:lumOff val="35000"/>
                  </a:schemeClr>
                </a:solidFill>
                <a:latin typeface="+mn-lt"/>
                <a:ea typeface="+mn-ea"/>
                <a:cs typeface="+mn-cs"/>
              </a:defRPr>
            </a:pPr>
            <a:r>
              <a:rPr lang="en-US" sz="1100" b="1" u="sng">
                <a:ln>
                  <a:solidFill>
                    <a:schemeClr val="bg1">
                      <a:alpha val="0"/>
                    </a:schemeClr>
                  </a:solidFill>
                </a:ln>
                <a:solidFill>
                  <a:schemeClr val="tx1">
                    <a:lumMod val="65000"/>
                    <a:lumOff val="35000"/>
                  </a:schemeClr>
                </a:solidFill>
                <a:latin typeface="+mn-lt"/>
                <a:ea typeface="+mn-ea"/>
                <a:cs typeface="+mn-cs"/>
              </a:rPr>
              <a:t>SALES</a:t>
            </a:r>
            <a:r>
              <a:rPr lang="en-US" sz="1100" b="1" u="sng" baseline="0">
                <a:ln>
                  <a:solidFill>
                    <a:schemeClr val="bg1">
                      <a:alpha val="0"/>
                    </a:schemeClr>
                  </a:solidFill>
                </a:ln>
                <a:solidFill>
                  <a:schemeClr val="tx1">
                    <a:lumMod val="65000"/>
                    <a:lumOff val="35000"/>
                  </a:schemeClr>
                </a:solidFill>
                <a:latin typeface="+mn-lt"/>
                <a:ea typeface="+mn-ea"/>
                <a:cs typeface="+mn-cs"/>
              </a:rPr>
              <a:t> BY MONTH</a:t>
            </a:r>
            <a:r>
              <a:rPr lang="en-US" baseline="0">
                <a:ln>
                  <a:solidFill>
                    <a:schemeClr val="bg1">
                      <a:alpha val="0"/>
                    </a:schemeClr>
                  </a:solidFill>
                </a:ln>
                <a:solidFill>
                  <a:schemeClr val="tx1">
                    <a:lumMod val="65000"/>
                    <a:lumOff val="35000"/>
                  </a:schemeClr>
                </a:solidFill>
                <a:latin typeface="+mn-lt"/>
                <a:ea typeface="+mn-ea"/>
                <a:cs typeface="+mn-cs"/>
              </a:rPr>
              <a:t>.</a:t>
            </a:r>
            <a:endParaRPr lang="en-US" baseline="0">
              <a:ln>
                <a:solidFill>
                  <a:schemeClr val="bg1">
                    <a:alpha val="0"/>
                  </a:schemeClr>
                </a:solidFill>
              </a:ln>
              <a:solidFill>
                <a:schemeClr val="tx1">
                  <a:lumMod val="65000"/>
                  <a:lumOff val="35000"/>
                </a:schemeClr>
              </a:solidFill>
            </a:endParaRPr>
          </a:p>
        </c:rich>
      </c:tx>
      <c:layout>
        <c:manualLayout>
          <c:xMode val="edge"/>
          <c:yMode val="edge"/>
          <c:x val="0.37856370259002192"/>
          <c:y val="0"/>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ln>
                <a:solidFill>
                  <a:schemeClr val="bg1">
                    <a:alpha val="0"/>
                  </a:schemeClr>
                </a:solidFill>
              </a:ln>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995D"/>
          </a:solidFill>
          <a:ln>
            <a:noFill/>
          </a:ln>
          <a:effectLst/>
        </c:spPr>
        <c:marker>
          <c:symbol val="none"/>
        </c:marker>
        <c:dLbl>
          <c:idx val="0"/>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1995D"/>
          </a:solidFill>
          <a:ln>
            <a:noFill/>
          </a:ln>
          <a:effectLst/>
        </c:spPr>
        <c:dLbl>
          <c:idx val="0"/>
          <c:layout>
            <c:manualLayout>
              <c:x val="1.5817806191018604E-3"/>
              <c:y val="-0.1499913473795559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BAB10E-013D-44E9-B0CF-6DC936A76EAD}"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1995D"/>
          </a:solidFill>
          <a:ln>
            <a:noFill/>
          </a:ln>
          <a:effectLst/>
        </c:spPr>
        <c:dLbl>
          <c:idx val="0"/>
          <c:layout>
            <c:manualLayout>
              <c:x val="8.4764927786684999E-4"/>
              <c:y val="-9.56317821611018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660547D-054E-4940-84E0-5078E0B9078B}"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F1995D"/>
          </a:solidFill>
          <a:ln>
            <a:noFill/>
          </a:ln>
          <a:effectLst/>
        </c:spPr>
        <c:dLbl>
          <c:idx val="0"/>
          <c:layout>
            <c:manualLayout>
              <c:x val="4.8512368424892153E-4"/>
              <c:y val="-0.3411144476276628"/>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AC5B38-DAAB-4293-802A-619D94199AC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F1995D"/>
          </a:solidFill>
          <a:ln>
            <a:noFill/>
          </a:ln>
          <a:effectLst/>
        </c:spPr>
        <c:dLbl>
          <c:idx val="0"/>
          <c:layout>
            <c:manualLayout>
              <c:x val="1.105611871872229E-3"/>
              <c:y val="-5.135502584648314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B5B9FE1-D263-41AB-88E4-BFAB565C556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1995D"/>
          </a:solidFill>
          <a:ln>
            <a:noFill/>
          </a:ln>
          <a:effectLst/>
        </c:spPr>
        <c:dLbl>
          <c:idx val="0"/>
          <c:layout>
            <c:manualLayout>
              <c:x val="-1.2036903443774951E-4"/>
              <c:y val="-0.11972286427239555"/>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0E66AAE0-416E-41A6-81B2-A99C86759DEA}"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1995D"/>
          </a:solidFill>
          <a:ln>
            <a:noFill/>
          </a:ln>
          <a:effectLst/>
        </c:spPr>
        <c:dLbl>
          <c:idx val="0"/>
          <c:layout>
            <c:manualLayout>
              <c:x val="1.3475657895802905E-3"/>
              <c:y val="-6.02047105518282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0FFB00-AB00-4C79-ACAE-E73CC5016993}"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F1995D"/>
          </a:solidFill>
          <a:ln>
            <a:noFill/>
          </a:ln>
          <a:effectLst/>
        </c:spPr>
        <c:dLbl>
          <c:idx val="0"/>
          <c:layout>
            <c:manualLayout>
              <c:x val="-1.2259809063100255E-3"/>
              <c:y val="-5.135502584648312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0EDAE0A-E10A-4B64-9878-491477A7E53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1995D"/>
          </a:solidFill>
          <a:ln>
            <a:noFill/>
          </a:ln>
          <a:effectLst/>
        </c:spPr>
        <c:dLbl>
          <c:idx val="0"/>
          <c:layout>
            <c:manualLayout>
              <c:x val="1.6880034627374756E-4"/>
              <c:y val="-8.14157031807865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7CB098-28E4-4BE2-B0F7-B5C831F1445E}"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1995D"/>
          </a:solidFill>
          <a:ln>
            <a:noFill/>
          </a:ln>
          <a:effectLst/>
        </c:spPr>
        <c:dLbl>
          <c:idx val="0"/>
          <c:layout>
            <c:manualLayout>
              <c:x val="1.6077574397790073E-3"/>
              <c:y val="-0.10478327265052409"/>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8AD7F6AD-2EB7-4485-8B00-A07573A8C92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F1995D"/>
          </a:solidFill>
          <a:ln>
            <a:noFill/>
          </a:ln>
          <a:effectLst/>
        </c:spPr>
        <c:dLbl>
          <c:idx val="0"/>
          <c:layout>
            <c:manualLayout>
              <c:x val="-1.2259809063100255E-3"/>
              <c:y val="-5.139526661769338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5214983A-3B27-4C01-8454-335E7AF584A8}"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F1995D"/>
          </a:solidFill>
          <a:ln>
            <a:noFill/>
          </a:ln>
          <a:effectLst/>
        </c:spPr>
        <c:dLbl>
          <c:idx val="0"/>
          <c:layout>
            <c:manualLayout>
              <c:x val="3.1776209242720711E-3"/>
              <c:y val="-0.2106423700007514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A52667E7-233F-43E2-80E4-1C81187A285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1995D"/>
          </a:solidFill>
          <a:ln>
            <a:noFill/>
          </a:ln>
          <a:effectLst/>
        </c:spPr>
        <c:dLbl>
          <c:idx val="0"/>
          <c:layout>
            <c:manualLayout>
              <c:x val="1.6053257421135992E-3"/>
              <c:y val="-0.1061892359221973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D002692-01FE-43B6-A2EB-8CC008AE60B9}"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1995D"/>
          </a:solidFill>
          <a:ln>
            <a:noFill/>
          </a:ln>
          <a:effectLst/>
        </c:spPr>
        <c:marker>
          <c:symbol val="none"/>
        </c:marker>
        <c:dLbl>
          <c:idx val="0"/>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1995D"/>
          </a:solidFill>
          <a:ln>
            <a:noFill/>
          </a:ln>
          <a:effectLst/>
        </c:spPr>
        <c:dLbl>
          <c:idx val="0"/>
          <c:layout>
            <c:manualLayout>
              <c:x val="1.5817806191018604E-3"/>
              <c:y val="-0.1499913473795559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BAB10E-013D-44E9-B0CF-6DC936A76EAD}"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F1995D"/>
          </a:solidFill>
          <a:ln>
            <a:noFill/>
          </a:ln>
          <a:effectLst/>
        </c:spPr>
        <c:dLbl>
          <c:idx val="0"/>
          <c:layout>
            <c:manualLayout>
              <c:x val="8.4764927786684999E-4"/>
              <c:y val="-9.56317821611018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660547D-054E-4940-84E0-5078E0B9078B}"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F1995D"/>
          </a:solidFill>
          <a:ln>
            <a:noFill/>
          </a:ln>
          <a:effectLst/>
        </c:spPr>
        <c:dLbl>
          <c:idx val="0"/>
          <c:layout>
            <c:manualLayout>
              <c:x val="4.8512368424892153E-4"/>
              <c:y val="-0.3411144476276628"/>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AC5B38-DAAB-4293-802A-619D94199AC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F1995D"/>
          </a:solidFill>
          <a:ln>
            <a:noFill/>
          </a:ln>
          <a:effectLst/>
        </c:spPr>
        <c:dLbl>
          <c:idx val="0"/>
          <c:layout>
            <c:manualLayout>
              <c:x val="1.105611871872229E-3"/>
              <c:y val="-5.135502584648314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B5B9FE1-D263-41AB-88E4-BFAB565C556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F1995D"/>
          </a:solidFill>
          <a:ln>
            <a:noFill/>
          </a:ln>
          <a:effectLst/>
        </c:spPr>
        <c:dLbl>
          <c:idx val="0"/>
          <c:layout>
            <c:manualLayout>
              <c:x val="-1.2036903443774951E-4"/>
              <c:y val="-0.11972286427239555"/>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0E66AAE0-416E-41A6-81B2-A99C86759DEA}"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F1995D"/>
          </a:solidFill>
          <a:ln>
            <a:noFill/>
          </a:ln>
          <a:effectLst/>
        </c:spPr>
        <c:dLbl>
          <c:idx val="0"/>
          <c:layout>
            <c:manualLayout>
              <c:x val="1.3475657895802905E-3"/>
              <c:y val="-6.02047105518282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0FFB00-AB00-4C79-ACAE-E73CC5016993}"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F1995D"/>
          </a:solidFill>
          <a:ln>
            <a:noFill/>
          </a:ln>
          <a:effectLst/>
        </c:spPr>
        <c:dLbl>
          <c:idx val="0"/>
          <c:layout>
            <c:manualLayout>
              <c:x val="-1.2259809063100255E-3"/>
              <c:y val="-5.135502584648312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0EDAE0A-E10A-4B64-9878-491477A7E53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F1995D"/>
          </a:solidFill>
          <a:ln>
            <a:noFill/>
          </a:ln>
          <a:effectLst/>
        </c:spPr>
        <c:dLbl>
          <c:idx val="0"/>
          <c:layout>
            <c:manualLayout>
              <c:x val="1.6880034627374756E-4"/>
              <c:y val="-8.14157031807865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7CB098-28E4-4BE2-B0F7-B5C831F1445E}"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F1995D"/>
          </a:solidFill>
          <a:ln>
            <a:noFill/>
          </a:ln>
          <a:effectLst/>
        </c:spPr>
        <c:dLbl>
          <c:idx val="0"/>
          <c:layout>
            <c:manualLayout>
              <c:x val="1.6077574397790073E-3"/>
              <c:y val="-0.10478327265052409"/>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8AD7F6AD-2EB7-4485-8B00-A07573A8C92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F1995D"/>
          </a:solidFill>
          <a:ln>
            <a:noFill/>
          </a:ln>
          <a:effectLst/>
        </c:spPr>
        <c:dLbl>
          <c:idx val="0"/>
          <c:layout>
            <c:manualLayout>
              <c:x val="-1.2259809063100255E-3"/>
              <c:y val="-5.139526661769338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5214983A-3B27-4C01-8454-335E7AF584A8}"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F1995D"/>
          </a:solidFill>
          <a:ln>
            <a:noFill/>
          </a:ln>
          <a:effectLst/>
        </c:spPr>
        <c:dLbl>
          <c:idx val="0"/>
          <c:layout>
            <c:manualLayout>
              <c:x val="1.6053257421135992E-3"/>
              <c:y val="-0.1061892359221973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D002692-01FE-43B6-A2EB-8CC008AE60B9}"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F1995D"/>
          </a:solidFill>
          <a:ln>
            <a:noFill/>
          </a:ln>
          <a:effectLst/>
        </c:spPr>
        <c:dLbl>
          <c:idx val="0"/>
          <c:layout>
            <c:manualLayout>
              <c:x val="3.1776209242720711E-3"/>
              <c:y val="-0.2106423700007514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A52667E7-233F-43E2-80E4-1C81187A285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rgbClr val="F1995D"/>
          </a:solidFill>
          <a:ln>
            <a:noFill/>
          </a:ln>
          <a:effectLst/>
        </c:spPr>
        <c:marker>
          <c:symbol val="none"/>
        </c:marker>
        <c:dLbl>
          <c:idx val="0"/>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1995D"/>
          </a:solidFill>
          <a:ln>
            <a:noFill/>
          </a:ln>
          <a:effectLst/>
        </c:spPr>
        <c:dLbl>
          <c:idx val="0"/>
          <c:layout>
            <c:manualLayout>
              <c:x val="1.5817806191018604E-3"/>
              <c:y val="-0.1499913473795559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BAB10E-013D-44E9-B0CF-6DC936A76EAD}"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rgbClr val="F1995D"/>
          </a:solidFill>
          <a:ln>
            <a:noFill/>
          </a:ln>
          <a:effectLst/>
        </c:spPr>
        <c:dLbl>
          <c:idx val="0"/>
          <c:layout>
            <c:manualLayout>
              <c:x val="8.4764927786684999E-4"/>
              <c:y val="-9.56317821611018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660547D-054E-4940-84E0-5078E0B9078B}"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rgbClr val="F1995D"/>
          </a:solidFill>
          <a:ln>
            <a:noFill/>
          </a:ln>
          <a:effectLst/>
        </c:spPr>
        <c:dLbl>
          <c:idx val="0"/>
          <c:layout>
            <c:manualLayout>
              <c:x val="4.8512368424892153E-4"/>
              <c:y val="-0.3411144476276628"/>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AC5B38-DAAB-4293-802A-619D94199AC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rgbClr val="F1995D"/>
          </a:solidFill>
          <a:ln>
            <a:noFill/>
          </a:ln>
          <a:effectLst/>
        </c:spPr>
        <c:dLbl>
          <c:idx val="0"/>
          <c:layout>
            <c:manualLayout>
              <c:x val="1.105611871872229E-3"/>
              <c:y val="-5.135502584648314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B5B9FE1-D263-41AB-88E4-BFAB565C556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rgbClr val="F1995D"/>
          </a:solidFill>
          <a:ln>
            <a:noFill/>
          </a:ln>
          <a:effectLst/>
        </c:spPr>
        <c:dLbl>
          <c:idx val="0"/>
          <c:layout>
            <c:manualLayout>
              <c:x val="-1.2036903443774951E-4"/>
              <c:y val="-0.11972286427239555"/>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0E66AAE0-416E-41A6-81B2-A99C86759DEA}"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rgbClr val="F1995D"/>
          </a:solidFill>
          <a:ln>
            <a:noFill/>
          </a:ln>
          <a:effectLst/>
        </c:spPr>
        <c:dLbl>
          <c:idx val="0"/>
          <c:layout>
            <c:manualLayout>
              <c:x val="1.3475657895802905E-3"/>
              <c:y val="-6.02047105518282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0FFB00-AB00-4C79-ACAE-E73CC5016993}"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rgbClr val="F1995D"/>
          </a:solidFill>
          <a:ln>
            <a:noFill/>
          </a:ln>
          <a:effectLst/>
        </c:spPr>
        <c:dLbl>
          <c:idx val="0"/>
          <c:layout>
            <c:manualLayout>
              <c:x val="-1.2259809063100255E-3"/>
              <c:y val="-5.135502584648312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0EDAE0A-E10A-4B64-9878-491477A7E53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rgbClr val="F1995D"/>
          </a:solidFill>
          <a:ln>
            <a:noFill/>
          </a:ln>
          <a:effectLst/>
        </c:spPr>
        <c:dLbl>
          <c:idx val="0"/>
          <c:layout>
            <c:manualLayout>
              <c:x val="1.6880034627374756E-4"/>
              <c:y val="-8.14157031807865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7CB098-28E4-4BE2-B0F7-B5C831F1445E}"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rgbClr val="F1995D"/>
          </a:solidFill>
          <a:ln>
            <a:noFill/>
          </a:ln>
          <a:effectLst/>
        </c:spPr>
        <c:dLbl>
          <c:idx val="0"/>
          <c:layout>
            <c:manualLayout>
              <c:x val="1.6077574397790073E-3"/>
              <c:y val="-0.10478327265052409"/>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8AD7F6AD-2EB7-4485-8B00-A07573A8C92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rgbClr val="F1995D"/>
          </a:solidFill>
          <a:ln>
            <a:noFill/>
          </a:ln>
          <a:effectLst/>
        </c:spPr>
        <c:dLbl>
          <c:idx val="0"/>
          <c:layout>
            <c:manualLayout>
              <c:x val="-1.2259809063100255E-3"/>
              <c:y val="-5.139526661769338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5214983A-3B27-4C01-8454-335E7AF584A8}"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rgbClr val="F1995D"/>
          </a:solidFill>
          <a:ln>
            <a:noFill/>
          </a:ln>
          <a:effectLst/>
        </c:spPr>
        <c:dLbl>
          <c:idx val="0"/>
          <c:layout>
            <c:manualLayout>
              <c:x val="1.6053257421135992E-3"/>
              <c:y val="-0.1061892359221973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D002692-01FE-43B6-A2EB-8CC008AE60B9}"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rgbClr val="F1995D"/>
          </a:solidFill>
          <a:ln>
            <a:noFill/>
          </a:ln>
          <a:effectLst/>
        </c:spPr>
        <c:dLbl>
          <c:idx val="0"/>
          <c:layout>
            <c:manualLayout>
              <c:x val="3.1776209242720711E-3"/>
              <c:y val="-0.2106423700007514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A52667E7-233F-43E2-80E4-1C81187A285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rgbClr val="F1995D"/>
          </a:solidFill>
          <a:ln>
            <a:noFill/>
          </a:ln>
          <a:effectLst/>
        </c:spPr>
        <c:marker>
          <c:symbol val="none"/>
        </c:marker>
        <c:dLbl>
          <c:idx val="0"/>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1995D"/>
          </a:solidFill>
          <a:ln>
            <a:noFill/>
          </a:ln>
          <a:effectLst/>
        </c:spPr>
        <c:dLbl>
          <c:idx val="0"/>
          <c:layout>
            <c:manualLayout>
              <c:x val="1.5817806191018604E-3"/>
              <c:y val="-0.1499913473795559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BAB10E-013D-44E9-B0CF-6DC936A76EAD}"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rgbClr val="F1995D"/>
          </a:solidFill>
          <a:ln>
            <a:noFill/>
          </a:ln>
          <a:effectLst/>
        </c:spPr>
        <c:dLbl>
          <c:idx val="0"/>
          <c:layout>
            <c:manualLayout>
              <c:x val="8.4764927786684999E-4"/>
              <c:y val="-9.56317821611018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660547D-054E-4940-84E0-5078E0B9078B}"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rgbClr val="F1995D"/>
          </a:solidFill>
          <a:ln>
            <a:noFill/>
          </a:ln>
          <a:effectLst/>
        </c:spPr>
        <c:dLbl>
          <c:idx val="0"/>
          <c:layout>
            <c:manualLayout>
              <c:x val="4.8512368424892153E-4"/>
              <c:y val="-0.3411144476276628"/>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AC5B38-DAAB-4293-802A-619D94199AC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F1995D"/>
          </a:solidFill>
          <a:ln>
            <a:noFill/>
          </a:ln>
          <a:effectLst/>
        </c:spPr>
        <c:dLbl>
          <c:idx val="0"/>
          <c:layout>
            <c:manualLayout>
              <c:x val="1.105611871872229E-3"/>
              <c:y val="-5.135502584648314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B5B9FE1-D263-41AB-88E4-BFAB565C556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solidFill>
            <a:srgbClr val="F1995D"/>
          </a:solidFill>
          <a:ln>
            <a:noFill/>
          </a:ln>
          <a:effectLst/>
        </c:spPr>
        <c:dLbl>
          <c:idx val="0"/>
          <c:layout>
            <c:manualLayout>
              <c:x val="-1.2036903443774951E-4"/>
              <c:y val="-0.11972286427239555"/>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0E66AAE0-416E-41A6-81B2-A99C86759DEA}"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solidFill>
            <a:srgbClr val="F1995D"/>
          </a:solidFill>
          <a:ln>
            <a:noFill/>
          </a:ln>
          <a:effectLst/>
        </c:spPr>
        <c:dLbl>
          <c:idx val="0"/>
          <c:layout>
            <c:manualLayout>
              <c:x val="1.3475657895802905E-3"/>
              <c:y val="-6.02047105518282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0FFB00-AB00-4C79-ACAE-E73CC5016993}"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F1995D"/>
          </a:solidFill>
          <a:ln>
            <a:noFill/>
          </a:ln>
          <a:effectLst/>
        </c:spPr>
        <c:dLbl>
          <c:idx val="0"/>
          <c:layout>
            <c:manualLayout>
              <c:x val="-1.2259809063100255E-3"/>
              <c:y val="-5.135502584648312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0EDAE0A-E10A-4B64-9878-491477A7E53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rgbClr val="F1995D"/>
          </a:solidFill>
          <a:ln>
            <a:noFill/>
          </a:ln>
          <a:effectLst/>
        </c:spPr>
        <c:dLbl>
          <c:idx val="0"/>
          <c:layout>
            <c:manualLayout>
              <c:x val="1.6880034627374756E-4"/>
              <c:y val="-8.14157031807865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7CB098-28E4-4BE2-B0F7-B5C831F1445E}"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spPr>
          <a:solidFill>
            <a:srgbClr val="F1995D"/>
          </a:solidFill>
          <a:ln>
            <a:noFill/>
          </a:ln>
          <a:effectLst/>
        </c:spPr>
        <c:dLbl>
          <c:idx val="0"/>
          <c:layout>
            <c:manualLayout>
              <c:x val="1.6077574397790073E-3"/>
              <c:y val="-0.10478327265052409"/>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8AD7F6AD-2EB7-4485-8B00-A07573A8C92C}"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F1995D"/>
          </a:solidFill>
          <a:ln>
            <a:noFill/>
          </a:ln>
          <a:effectLst/>
        </c:spPr>
        <c:dLbl>
          <c:idx val="0"/>
          <c:layout>
            <c:manualLayout>
              <c:x val="-1.2259809063100255E-3"/>
              <c:y val="-5.139526661769338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5214983A-3B27-4C01-8454-335E7AF584A8}"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2"/>
        <c:spPr>
          <a:solidFill>
            <a:srgbClr val="F1995D"/>
          </a:solidFill>
          <a:ln>
            <a:noFill/>
          </a:ln>
          <a:effectLst/>
        </c:spPr>
        <c:dLbl>
          <c:idx val="0"/>
          <c:layout>
            <c:manualLayout>
              <c:x val="1.6053257421135992E-3"/>
              <c:y val="-0.1061892359221973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D002692-01FE-43B6-A2EB-8CC008AE60B9}"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spPr>
          <a:solidFill>
            <a:srgbClr val="F1995D"/>
          </a:solidFill>
          <a:ln>
            <a:noFill/>
          </a:ln>
          <a:effectLst/>
        </c:spPr>
        <c:dLbl>
          <c:idx val="0"/>
          <c:layout>
            <c:manualLayout>
              <c:x val="3.1776209242720711E-3"/>
              <c:y val="-0.2106423700007514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A52667E7-233F-43E2-80E4-1C81187A2857}" type="VALUE">
                  <a:rPr lang="en-US">
                    <a:solidFill>
                      <a:schemeClr val="accent2">
                        <a:lumMod val="50000"/>
                      </a:schemeClr>
                    </a:solidFill>
                  </a:rPr>
                  <a:pPr>
                    <a:defRPr sz="900" b="0" i="0" u="none" strike="noStrike" kern="1200" baseline="0">
                      <a:ln>
                        <a:noFill/>
                      </a:ln>
                      <a:solidFill>
                        <a:schemeClr val="tx1">
                          <a:lumMod val="75000"/>
                          <a:lumOff val="25000"/>
                        </a:schemeClr>
                      </a:solidFill>
                      <a:latin typeface="+mn-lt"/>
                      <a:ea typeface="+mn-ea"/>
                      <a:cs typeface="+mn-cs"/>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4"/>
        <c:spPr>
          <a:solidFill>
            <a:srgbClr val="F1995D"/>
          </a:solidFill>
          <a:ln>
            <a:noFill/>
          </a:ln>
          <a:effectLst/>
        </c:spPr>
        <c:marker>
          <c:symbol val="none"/>
        </c:marker>
        <c:dLbl>
          <c:idx val="0"/>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1995D"/>
          </a:solidFill>
          <a:ln>
            <a:noFill/>
          </a:ln>
          <a:effectLst/>
        </c:spPr>
        <c:dLbl>
          <c:idx val="0"/>
          <c:layout>
            <c:manualLayout>
              <c:x val="1.5817806191018604E-3"/>
              <c:y val="-0.1499913473795559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BAB10E-013D-44E9-B0CF-6DC936A76EAD}"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6"/>
        <c:spPr>
          <a:solidFill>
            <a:srgbClr val="F1995D"/>
          </a:solidFill>
          <a:ln>
            <a:noFill/>
          </a:ln>
          <a:effectLst/>
        </c:spPr>
        <c:dLbl>
          <c:idx val="0"/>
          <c:layout>
            <c:manualLayout>
              <c:x val="8.4764927786684999E-4"/>
              <c:y val="-9.56317821611018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660547D-054E-4940-84E0-5078E0B9078B}"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7"/>
        <c:spPr>
          <a:solidFill>
            <a:srgbClr val="F1995D"/>
          </a:solidFill>
          <a:ln>
            <a:noFill/>
          </a:ln>
          <a:effectLst/>
        </c:spPr>
        <c:dLbl>
          <c:idx val="0"/>
          <c:layout>
            <c:manualLayout>
              <c:x val="4.8512368424892153E-4"/>
              <c:y val="-0.3411144476276628"/>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AC5B38-DAAB-4293-802A-619D94199AC7}"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8"/>
        <c:spPr>
          <a:solidFill>
            <a:srgbClr val="F1995D"/>
          </a:solidFill>
          <a:ln>
            <a:noFill/>
          </a:ln>
          <a:effectLst/>
        </c:spPr>
        <c:dLbl>
          <c:idx val="0"/>
          <c:layout>
            <c:manualLayout>
              <c:x val="1.105611871872229E-3"/>
              <c:y val="-5.135502584648314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B5B9FE1-D263-41AB-88E4-BFAB565C556C}"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9"/>
        <c:spPr>
          <a:solidFill>
            <a:srgbClr val="F1995D"/>
          </a:solidFill>
          <a:ln>
            <a:noFill/>
          </a:ln>
          <a:effectLst/>
        </c:spPr>
        <c:dLbl>
          <c:idx val="0"/>
          <c:layout>
            <c:manualLayout>
              <c:x val="-1.2036903443774951E-4"/>
              <c:y val="-0.11972286427239555"/>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0E66AAE0-416E-41A6-81B2-A99C86759DEA}"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0"/>
        <c:spPr>
          <a:solidFill>
            <a:srgbClr val="F1995D"/>
          </a:solidFill>
          <a:ln>
            <a:noFill/>
          </a:ln>
          <a:effectLst/>
        </c:spPr>
        <c:dLbl>
          <c:idx val="0"/>
          <c:layout>
            <c:manualLayout>
              <c:x val="1.3475657895802905E-3"/>
              <c:y val="-6.02047105518282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4F0FFB00-AB00-4C79-ACAE-E73CC5016993}"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1"/>
        <c:spPr>
          <a:solidFill>
            <a:srgbClr val="F1995D"/>
          </a:solidFill>
          <a:ln>
            <a:noFill/>
          </a:ln>
          <a:effectLst/>
        </c:spPr>
        <c:dLbl>
          <c:idx val="0"/>
          <c:layout>
            <c:manualLayout>
              <c:x val="-1.2259809063100255E-3"/>
              <c:y val="-5.135502584648312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D0EDAE0A-E10A-4B64-9878-491477A7E537}"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2"/>
        <c:spPr>
          <a:solidFill>
            <a:srgbClr val="F1995D"/>
          </a:solidFill>
          <a:ln>
            <a:noFill/>
          </a:ln>
          <a:effectLst/>
        </c:spPr>
        <c:dLbl>
          <c:idx val="0"/>
          <c:layout>
            <c:manualLayout>
              <c:x val="1.6880034627374756E-4"/>
              <c:y val="-8.14157031807865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247CB098-28E4-4BE2-B0F7-B5C831F1445E}"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3"/>
        <c:spPr>
          <a:solidFill>
            <a:srgbClr val="F1995D"/>
          </a:solidFill>
          <a:ln>
            <a:noFill/>
          </a:ln>
          <a:effectLst/>
        </c:spPr>
        <c:dLbl>
          <c:idx val="0"/>
          <c:layout>
            <c:manualLayout>
              <c:x val="1.6077574397790073E-3"/>
              <c:y val="-0.10478327265052409"/>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8AD7F6AD-2EB7-4485-8B00-A07573A8C92C}"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4"/>
        <c:spPr>
          <a:solidFill>
            <a:srgbClr val="F1995D"/>
          </a:solidFill>
          <a:ln>
            <a:noFill/>
          </a:ln>
          <a:effectLst/>
        </c:spPr>
        <c:dLbl>
          <c:idx val="0"/>
          <c:layout>
            <c:manualLayout>
              <c:x val="-1.2259809063100255E-3"/>
              <c:y val="-5.139526661769338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5214983A-3B27-4C01-8454-335E7AF584A8}"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5"/>
        <c:spPr>
          <a:solidFill>
            <a:srgbClr val="F1995D"/>
          </a:solidFill>
          <a:ln>
            <a:noFill/>
          </a:ln>
          <a:effectLst/>
        </c:spPr>
        <c:dLbl>
          <c:idx val="0"/>
          <c:layout>
            <c:manualLayout>
              <c:x val="1.6053257421135992E-3"/>
              <c:y val="-0.10618923592219734"/>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BD002692-01FE-43B6-A2EB-8CC008AE60B9}"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6"/>
        <c:spPr>
          <a:solidFill>
            <a:srgbClr val="F1995D"/>
          </a:solidFill>
          <a:ln>
            <a:noFill/>
          </a:ln>
          <a:effectLst/>
        </c:spPr>
        <c:dLbl>
          <c:idx val="0"/>
          <c:layout>
            <c:manualLayout>
              <c:x val="3.1776209242720711E-3"/>
              <c:y val="-0.2106423700007514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fld id="{A52667E7-233F-43E2-80E4-1C81187A2857}" type="VALUE">
                  <a:rPr lang="en-US">
                    <a:solidFill>
                      <a:schemeClr val="accent2">
                        <a:lumMod val="50000"/>
                      </a:schemeClr>
                    </a:solidFill>
                  </a:rPr>
                  <a:pPr>
                    <a:defRPr>
                      <a:ln>
                        <a:noFill/>
                      </a:ln>
                    </a:defRPr>
                  </a:pPr>
                  <a:t>[VALUE]</a:t>
                </a:fld>
                <a:endParaRPr lang="en-PK"/>
              </a:p>
            </c:rich>
          </c:tx>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2.8395541563387063E-2"/>
          <c:y val="0.15014817226827784"/>
          <c:w val="0.94596761801156637"/>
          <c:h val="0.72618676969315987"/>
        </c:manualLayout>
      </c:layout>
      <c:barChart>
        <c:barDir val="col"/>
        <c:grouping val="clustered"/>
        <c:varyColors val="0"/>
        <c:ser>
          <c:idx val="0"/>
          <c:order val="0"/>
          <c:tx>
            <c:strRef>
              <c:f>'PIVOT TABLE'!$B$37</c:f>
              <c:strCache>
                <c:ptCount val="1"/>
                <c:pt idx="0">
                  <c:v>Total</c:v>
                </c:pt>
              </c:strCache>
            </c:strRef>
          </c:tx>
          <c:spPr>
            <a:solidFill>
              <a:srgbClr val="F1995D"/>
            </a:solidFill>
            <a:ln>
              <a:noFill/>
            </a:ln>
            <a:effectLst/>
          </c:spPr>
          <c:invertIfNegative val="0"/>
          <c:dPt>
            <c:idx val="0"/>
            <c:invertIfNegative val="0"/>
            <c:bubble3D val="0"/>
            <c:spPr>
              <a:solidFill>
                <a:srgbClr val="F1995D"/>
              </a:solidFill>
              <a:ln>
                <a:noFill/>
              </a:ln>
              <a:effectLst/>
            </c:spPr>
            <c:extLst>
              <c:ext xmlns:c16="http://schemas.microsoft.com/office/drawing/2014/chart" uri="{C3380CC4-5D6E-409C-BE32-E72D297353CC}">
                <c16:uniqueId val="{00000001-ABCD-4753-8B09-6426B72D88E2}"/>
              </c:ext>
            </c:extLst>
          </c:dPt>
          <c:dPt>
            <c:idx val="1"/>
            <c:invertIfNegative val="0"/>
            <c:bubble3D val="0"/>
            <c:spPr>
              <a:solidFill>
                <a:srgbClr val="F1995D"/>
              </a:solidFill>
              <a:ln>
                <a:noFill/>
              </a:ln>
              <a:effectLst/>
            </c:spPr>
            <c:extLst>
              <c:ext xmlns:c16="http://schemas.microsoft.com/office/drawing/2014/chart" uri="{C3380CC4-5D6E-409C-BE32-E72D297353CC}">
                <c16:uniqueId val="{00000003-ABCD-4753-8B09-6426B72D88E2}"/>
              </c:ext>
            </c:extLst>
          </c:dPt>
          <c:dPt>
            <c:idx val="2"/>
            <c:invertIfNegative val="0"/>
            <c:bubble3D val="0"/>
            <c:spPr>
              <a:solidFill>
                <a:srgbClr val="F1995D"/>
              </a:solidFill>
              <a:ln>
                <a:noFill/>
              </a:ln>
              <a:effectLst/>
            </c:spPr>
            <c:extLst>
              <c:ext xmlns:c16="http://schemas.microsoft.com/office/drawing/2014/chart" uri="{C3380CC4-5D6E-409C-BE32-E72D297353CC}">
                <c16:uniqueId val="{00000005-ABCD-4753-8B09-6426B72D88E2}"/>
              </c:ext>
            </c:extLst>
          </c:dPt>
          <c:dPt>
            <c:idx val="3"/>
            <c:invertIfNegative val="0"/>
            <c:bubble3D val="0"/>
            <c:spPr>
              <a:solidFill>
                <a:srgbClr val="F1995D"/>
              </a:solidFill>
              <a:ln>
                <a:noFill/>
              </a:ln>
              <a:effectLst/>
            </c:spPr>
            <c:extLst>
              <c:ext xmlns:c16="http://schemas.microsoft.com/office/drawing/2014/chart" uri="{C3380CC4-5D6E-409C-BE32-E72D297353CC}">
                <c16:uniqueId val="{00000007-ABCD-4753-8B09-6426B72D88E2}"/>
              </c:ext>
            </c:extLst>
          </c:dPt>
          <c:dPt>
            <c:idx val="4"/>
            <c:invertIfNegative val="0"/>
            <c:bubble3D val="0"/>
            <c:spPr>
              <a:solidFill>
                <a:srgbClr val="F1995D"/>
              </a:solidFill>
              <a:ln>
                <a:noFill/>
              </a:ln>
              <a:effectLst/>
            </c:spPr>
            <c:extLst>
              <c:ext xmlns:c16="http://schemas.microsoft.com/office/drawing/2014/chart" uri="{C3380CC4-5D6E-409C-BE32-E72D297353CC}">
                <c16:uniqueId val="{00000009-ABCD-4753-8B09-6426B72D88E2}"/>
              </c:ext>
            </c:extLst>
          </c:dPt>
          <c:dPt>
            <c:idx val="5"/>
            <c:invertIfNegative val="0"/>
            <c:bubble3D val="0"/>
            <c:spPr>
              <a:solidFill>
                <a:srgbClr val="F1995D"/>
              </a:solidFill>
              <a:ln>
                <a:noFill/>
              </a:ln>
              <a:effectLst/>
            </c:spPr>
            <c:extLst>
              <c:ext xmlns:c16="http://schemas.microsoft.com/office/drawing/2014/chart" uri="{C3380CC4-5D6E-409C-BE32-E72D297353CC}">
                <c16:uniqueId val="{0000000B-ABCD-4753-8B09-6426B72D88E2}"/>
              </c:ext>
            </c:extLst>
          </c:dPt>
          <c:dPt>
            <c:idx val="6"/>
            <c:invertIfNegative val="0"/>
            <c:bubble3D val="0"/>
            <c:spPr>
              <a:solidFill>
                <a:srgbClr val="F1995D"/>
              </a:solidFill>
              <a:ln>
                <a:noFill/>
              </a:ln>
              <a:effectLst/>
            </c:spPr>
            <c:extLst>
              <c:ext xmlns:c16="http://schemas.microsoft.com/office/drawing/2014/chart" uri="{C3380CC4-5D6E-409C-BE32-E72D297353CC}">
                <c16:uniqueId val="{0000000D-ABCD-4753-8B09-6426B72D88E2}"/>
              </c:ext>
            </c:extLst>
          </c:dPt>
          <c:dPt>
            <c:idx val="7"/>
            <c:invertIfNegative val="0"/>
            <c:bubble3D val="0"/>
            <c:spPr>
              <a:solidFill>
                <a:srgbClr val="F1995D"/>
              </a:solidFill>
              <a:ln>
                <a:noFill/>
              </a:ln>
              <a:effectLst/>
            </c:spPr>
            <c:extLst>
              <c:ext xmlns:c16="http://schemas.microsoft.com/office/drawing/2014/chart" uri="{C3380CC4-5D6E-409C-BE32-E72D297353CC}">
                <c16:uniqueId val="{0000000F-ABCD-4753-8B09-6426B72D88E2}"/>
              </c:ext>
            </c:extLst>
          </c:dPt>
          <c:dPt>
            <c:idx val="8"/>
            <c:invertIfNegative val="0"/>
            <c:bubble3D val="0"/>
            <c:spPr>
              <a:solidFill>
                <a:srgbClr val="F1995D"/>
              </a:solidFill>
              <a:ln>
                <a:noFill/>
              </a:ln>
              <a:effectLst/>
            </c:spPr>
            <c:extLst>
              <c:ext xmlns:c16="http://schemas.microsoft.com/office/drawing/2014/chart" uri="{C3380CC4-5D6E-409C-BE32-E72D297353CC}">
                <c16:uniqueId val="{00000011-ABCD-4753-8B09-6426B72D88E2}"/>
              </c:ext>
            </c:extLst>
          </c:dPt>
          <c:dPt>
            <c:idx val="9"/>
            <c:invertIfNegative val="0"/>
            <c:bubble3D val="0"/>
            <c:spPr>
              <a:solidFill>
                <a:srgbClr val="F1995D"/>
              </a:solidFill>
              <a:ln>
                <a:noFill/>
              </a:ln>
              <a:effectLst/>
            </c:spPr>
            <c:extLst>
              <c:ext xmlns:c16="http://schemas.microsoft.com/office/drawing/2014/chart" uri="{C3380CC4-5D6E-409C-BE32-E72D297353CC}">
                <c16:uniqueId val="{00000013-ABCD-4753-8B09-6426B72D88E2}"/>
              </c:ext>
            </c:extLst>
          </c:dPt>
          <c:dPt>
            <c:idx val="10"/>
            <c:invertIfNegative val="0"/>
            <c:bubble3D val="0"/>
            <c:spPr>
              <a:solidFill>
                <a:srgbClr val="F1995D"/>
              </a:solidFill>
              <a:ln>
                <a:noFill/>
              </a:ln>
              <a:effectLst/>
            </c:spPr>
            <c:extLst>
              <c:ext xmlns:c16="http://schemas.microsoft.com/office/drawing/2014/chart" uri="{C3380CC4-5D6E-409C-BE32-E72D297353CC}">
                <c16:uniqueId val="{00000015-ABCD-4753-8B09-6426B72D88E2}"/>
              </c:ext>
            </c:extLst>
          </c:dPt>
          <c:dPt>
            <c:idx val="11"/>
            <c:invertIfNegative val="0"/>
            <c:bubble3D val="0"/>
            <c:spPr>
              <a:solidFill>
                <a:srgbClr val="F1995D"/>
              </a:solidFill>
              <a:ln>
                <a:noFill/>
              </a:ln>
              <a:effectLst/>
            </c:spPr>
            <c:extLst>
              <c:ext xmlns:c16="http://schemas.microsoft.com/office/drawing/2014/chart" uri="{C3380CC4-5D6E-409C-BE32-E72D297353CC}">
                <c16:uniqueId val="{00000017-ABCD-4753-8B09-6426B72D88E2}"/>
              </c:ext>
            </c:extLst>
          </c:dPt>
          <c:dLbls>
            <c:dLbl>
              <c:idx val="0"/>
              <c:layout>
                <c:manualLayout>
                  <c:x val="1.5817806191018604E-3"/>
                  <c:y val="-0.14999134737955594"/>
                </c:manualLayout>
              </c:layout>
              <c:tx>
                <c:rich>
                  <a:bodyPr/>
                  <a:lstStyle/>
                  <a:p>
                    <a:fld id="{4FBAB10E-013D-44E9-B0CF-6DC936A76EAD}"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BCD-4753-8B09-6426B72D88E2}"/>
                </c:ext>
              </c:extLst>
            </c:dLbl>
            <c:dLbl>
              <c:idx val="1"/>
              <c:layout>
                <c:manualLayout>
                  <c:x val="8.4764927786684999E-4"/>
                  <c:y val="-9.563178216110188E-2"/>
                </c:manualLayout>
              </c:layout>
              <c:tx>
                <c:rich>
                  <a:bodyPr/>
                  <a:lstStyle/>
                  <a:p>
                    <a:fld id="{B660547D-054E-4940-84E0-5078E0B9078B}"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BCD-4753-8B09-6426B72D88E2}"/>
                </c:ext>
              </c:extLst>
            </c:dLbl>
            <c:dLbl>
              <c:idx val="2"/>
              <c:layout>
                <c:manualLayout>
                  <c:x val="4.8512368424892153E-4"/>
                  <c:y val="-0.3411144476276628"/>
                </c:manualLayout>
              </c:layout>
              <c:tx>
                <c:rich>
                  <a:bodyPr/>
                  <a:lstStyle/>
                  <a:p>
                    <a:fld id="{24AC5B38-DAAB-4293-802A-619D94199AC7}"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BCD-4753-8B09-6426B72D88E2}"/>
                </c:ext>
              </c:extLst>
            </c:dLbl>
            <c:dLbl>
              <c:idx val="3"/>
              <c:layout>
                <c:manualLayout>
                  <c:x val="1.105611871872229E-3"/>
                  <c:y val="-5.1355025846483146E-2"/>
                </c:manualLayout>
              </c:layout>
              <c:tx>
                <c:rich>
                  <a:bodyPr/>
                  <a:lstStyle/>
                  <a:p>
                    <a:fld id="{DB5B9FE1-D263-41AB-88E4-BFAB565C556C}"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BCD-4753-8B09-6426B72D88E2}"/>
                </c:ext>
              </c:extLst>
            </c:dLbl>
            <c:dLbl>
              <c:idx val="4"/>
              <c:layout>
                <c:manualLayout>
                  <c:x val="-1.2036903443774951E-4"/>
                  <c:y val="-0.11972286427239555"/>
                </c:manualLayout>
              </c:layout>
              <c:tx>
                <c:rich>
                  <a:bodyPr/>
                  <a:lstStyle/>
                  <a:p>
                    <a:fld id="{0E66AAE0-416E-41A6-81B2-A99C86759DEA}"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BCD-4753-8B09-6426B72D88E2}"/>
                </c:ext>
              </c:extLst>
            </c:dLbl>
            <c:dLbl>
              <c:idx val="5"/>
              <c:layout>
                <c:manualLayout>
                  <c:x val="1.3475657895802905E-3"/>
                  <c:y val="-6.0204710551828265E-2"/>
                </c:manualLayout>
              </c:layout>
              <c:tx>
                <c:rich>
                  <a:bodyPr/>
                  <a:lstStyle/>
                  <a:p>
                    <a:fld id="{4F0FFB00-AB00-4C79-ACAE-E73CC5016993}"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BCD-4753-8B09-6426B72D88E2}"/>
                </c:ext>
              </c:extLst>
            </c:dLbl>
            <c:dLbl>
              <c:idx val="6"/>
              <c:layout>
                <c:manualLayout>
                  <c:x val="-1.2259809063100255E-3"/>
                  <c:y val="-5.1355025846483125E-2"/>
                </c:manualLayout>
              </c:layout>
              <c:tx>
                <c:rich>
                  <a:bodyPr/>
                  <a:lstStyle/>
                  <a:p>
                    <a:fld id="{D0EDAE0A-E10A-4B64-9878-491477A7E537}"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ABCD-4753-8B09-6426B72D88E2}"/>
                </c:ext>
              </c:extLst>
            </c:dLbl>
            <c:dLbl>
              <c:idx val="7"/>
              <c:layout>
                <c:manualLayout>
                  <c:x val="1.6880034627374756E-4"/>
                  <c:y val="-8.1415703180786586E-2"/>
                </c:manualLayout>
              </c:layout>
              <c:tx>
                <c:rich>
                  <a:bodyPr/>
                  <a:lstStyle/>
                  <a:p>
                    <a:fld id="{247CB098-28E4-4BE2-B0F7-B5C831F1445E}"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ABCD-4753-8B09-6426B72D88E2}"/>
                </c:ext>
              </c:extLst>
            </c:dLbl>
            <c:dLbl>
              <c:idx val="8"/>
              <c:layout>
                <c:manualLayout>
                  <c:x val="1.6077574397790073E-3"/>
                  <c:y val="-0.10478327265052409"/>
                </c:manualLayout>
              </c:layout>
              <c:tx>
                <c:rich>
                  <a:bodyPr/>
                  <a:lstStyle/>
                  <a:p>
                    <a:fld id="{8AD7F6AD-2EB7-4485-8B00-A07573A8C92C}"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ABCD-4753-8B09-6426B72D88E2}"/>
                </c:ext>
              </c:extLst>
            </c:dLbl>
            <c:dLbl>
              <c:idx val="9"/>
              <c:layout>
                <c:manualLayout>
                  <c:x val="-1.2259809063100255E-3"/>
                  <c:y val="-5.1395266617693385E-2"/>
                </c:manualLayout>
              </c:layout>
              <c:tx>
                <c:rich>
                  <a:bodyPr/>
                  <a:lstStyle/>
                  <a:p>
                    <a:fld id="{5214983A-3B27-4C01-8454-335E7AF584A8}"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ABCD-4753-8B09-6426B72D88E2}"/>
                </c:ext>
              </c:extLst>
            </c:dLbl>
            <c:dLbl>
              <c:idx val="10"/>
              <c:layout>
                <c:manualLayout>
                  <c:x val="1.6053257421135992E-3"/>
                  <c:y val="-0.10618923592219734"/>
                </c:manualLayout>
              </c:layout>
              <c:tx>
                <c:rich>
                  <a:bodyPr/>
                  <a:lstStyle/>
                  <a:p>
                    <a:fld id="{BD002692-01FE-43B6-A2EB-8CC008AE60B9}"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ABCD-4753-8B09-6426B72D88E2}"/>
                </c:ext>
              </c:extLst>
            </c:dLbl>
            <c:dLbl>
              <c:idx val="11"/>
              <c:layout>
                <c:manualLayout>
                  <c:x val="3.1776209242720711E-3"/>
                  <c:y val="-0.21064237000075142"/>
                </c:manualLayout>
              </c:layout>
              <c:tx>
                <c:rich>
                  <a:bodyPr/>
                  <a:lstStyle/>
                  <a:p>
                    <a:fld id="{A52667E7-233F-43E2-80E4-1C81187A2857}" type="VALUE">
                      <a:rPr lang="en-US">
                        <a:solidFill>
                          <a:schemeClr val="accent2">
                            <a:lumMod val="50000"/>
                          </a:schemeClr>
                        </a:solidFill>
                      </a:rPr>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ABCD-4753-8B09-6426B72D88E2}"/>
                </c:ext>
              </c:extLst>
            </c:dLbl>
            <c:numFmt formatCode="&quot;Rs&quot;\ 0.00,,&quot;M&quot;" sourceLinked="0"/>
            <c:spPr>
              <a:noFill/>
              <a:ln cmpd="sng">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TABLE'!$B$38:$B$50</c:f>
              <c:numCache>
                <c:formatCode>_-"Rs"* #,##0_-;\-"Rs"* #,##0_-;_-"Rs"* "-"??_-;_-@_-</c:formatCode>
                <c:ptCount val="12"/>
                <c:pt idx="0">
                  <c:v>3411700</c:v>
                </c:pt>
                <c:pt idx="1">
                  <c:v>2817700</c:v>
                </c:pt>
                <c:pt idx="2">
                  <c:v>2386900</c:v>
                </c:pt>
                <c:pt idx="3">
                  <c:v>2501350</c:v>
                </c:pt>
                <c:pt idx="4">
                  <c:v>3035850</c:v>
                </c:pt>
                <c:pt idx="5">
                  <c:v>2547000</c:v>
                </c:pt>
                <c:pt idx="6">
                  <c:v>3303700</c:v>
                </c:pt>
                <c:pt idx="7">
                  <c:v>3674650</c:v>
                </c:pt>
                <c:pt idx="8">
                  <c:v>2695850</c:v>
                </c:pt>
                <c:pt idx="9">
                  <c:v>4124750</c:v>
                </c:pt>
                <c:pt idx="10">
                  <c:v>2438350</c:v>
                </c:pt>
                <c:pt idx="11">
                  <c:v>2607100</c:v>
                </c:pt>
              </c:numCache>
            </c:numRef>
          </c:val>
          <c:extLst>
            <c:ext xmlns:c16="http://schemas.microsoft.com/office/drawing/2014/chart" uri="{C3380CC4-5D6E-409C-BE32-E72D297353CC}">
              <c16:uniqueId val="{00000018-ABCD-4753-8B09-6426B72D88E2}"/>
            </c:ext>
          </c:extLst>
        </c:ser>
        <c:dLbls>
          <c:showLegendKey val="0"/>
          <c:showVal val="1"/>
          <c:showCatName val="0"/>
          <c:showSerName val="0"/>
          <c:showPercent val="0"/>
          <c:showBubbleSize val="0"/>
        </c:dLbls>
        <c:gapWidth val="219"/>
        <c:overlap val="-27"/>
        <c:axId val="1237845648"/>
        <c:axId val="1237839824"/>
      </c:barChart>
      <c:catAx>
        <c:axId val="123784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PK"/>
          </a:p>
        </c:txPr>
        <c:crossAx val="1237839824"/>
        <c:crosses val="autoZero"/>
        <c:auto val="1"/>
        <c:lblAlgn val="ctr"/>
        <c:lblOffset val="100"/>
        <c:noMultiLvlLbl val="0"/>
      </c:catAx>
      <c:valAx>
        <c:axId val="1237839824"/>
        <c:scaling>
          <c:orientation val="minMax"/>
        </c:scaling>
        <c:delete val="1"/>
        <c:axPos val="l"/>
        <c:numFmt formatCode="_-&quot;Rs&quot;* #,##0_-;\-&quot;Rs&quot;* #,##0_-;_-&quot;Rs&quot;* &quot;-&quot;??_-;_-@_-" sourceLinked="1"/>
        <c:majorTickMark val="out"/>
        <c:minorTickMark val="none"/>
        <c:tickLblPos val="nextTo"/>
        <c:crossAx val="123784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Sales Dashboard.xlsx]PIVOT TABLE!PivotTable4</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u="sng"/>
              <a:t>SALES</a:t>
            </a:r>
            <a:r>
              <a:rPr lang="en-US" sz="1100" b="1" u="sng" baseline="0"/>
              <a:t> BY DEALER</a:t>
            </a:r>
            <a:r>
              <a:rPr lang="en-US" sz="1100" baseline="0"/>
              <a:t>.</a:t>
            </a:r>
          </a:p>
        </c:rich>
      </c:tx>
      <c:layout>
        <c:manualLayout>
          <c:xMode val="edge"/>
          <c:yMode val="edge"/>
          <c:x val="0.37576618729862765"/>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995D"/>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1995D"/>
          </a:solidFill>
          <a:ln>
            <a:noFill/>
          </a:ln>
          <a:effectLst/>
        </c:spPr>
        <c:dLbl>
          <c:idx val="0"/>
          <c:layout>
            <c:manualLayout>
              <c:x val="4.1739747742931356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995D"/>
          </a:solidFill>
          <a:ln>
            <a:noFill/>
          </a:ln>
          <a:effectLst/>
        </c:spPr>
        <c:dLbl>
          <c:idx val="0"/>
          <c:layout>
            <c:manualLayout>
              <c:x val="2.0869873871465678E-2"/>
              <c:y val="-2.9775369247046979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995D"/>
          </a:solidFill>
          <a:ln>
            <a:noFill/>
          </a:ln>
          <a:effectLst/>
        </c:spPr>
        <c:dLbl>
          <c:idx val="0"/>
          <c:layout>
            <c:manualLayout>
              <c:x val="2.0869873871465678E-2"/>
              <c:y val="-5.9550738494093958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995D"/>
          </a:solidFill>
          <a:ln>
            <a:noFill/>
          </a:ln>
          <a:effectLst/>
        </c:spPr>
        <c:dLbl>
          <c:idx val="0"/>
          <c:layout>
            <c:manualLayout>
              <c:x val="9.739274473350649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995D"/>
          </a:solidFill>
          <a:ln>
            <a:noFill/>
          </a:ln>
          <a:effectLst/>
        </c:spPr>
        <c:dLbl>
          <c:idx val="0"/>
          <c:layout>
            <c:manualLayout>
              <c:x val="3.9420872868324061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1995D"/>
          </a:solidFill>
          <a:ln>
            <a:noFill/>
          </a:ln>
          <a:effectLst/>
        </c:spPr>
        <c:dLbl>
          <c:idx val="0"/>
          <c:layout>
            <c:manualLayout>
              <c:x val="6.2609621614397037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1995D"/>
          </a:solidFill>
          <a:ln>
            <a:noFill/>
          </a:ln>
          <a:effectLst/>
        </c:spPr>
        <c:dLbl>
          <c:idx val="0"/>
          <c:layout>
            <c:manualLayout>
              <c:x val="2.318874874607293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1995D"/>
          </a:solidFill>
          <a:ln>
            <a:noFill/>
          </a:ln>
          <a:effectLst/>
        </c:spPr>
        <c:dLbl>
          <c:idx val="0"/>
          <c:layout>
            <c:manualLayout>
              <c:x val="9.2754994984291898E-3"/>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1995D"/>
          </a:solidFill>
          <a:ln>
            <a:noFill/>
          </a:ln>
          <a:effectLst/>
        </c:spPr>
        <c:dLbl>
          <c:idx val="0"/>
          <c:layout>
            <c:manualLayout>
              <c:x val="2.3188744512073211E-2"/>
              <c:y val="-1.1936929406245127E-16"/>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1995D"/>
          </a:solidFill>
          <a:ln>
            <a:noFill/>
          </a:ln>
          <a:effectLst/>
        </c:spPr>
        <c:dLbl>
          <c:idx val="0"/>
          <c:layout>
            <c:manualLayout>
              <c:x val="5.1015237926561062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1995D"/>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1995D"/>
          </a:solidFill>
          <a:ln>
            <a:noFill/>
          </a:ln>
          <a:effectLst/>
        </c:spPr>
        <c:dLbl>
          <c:idx val="0"/>
          <c:layout>
            <c:manualLayout>
              <c:x val="5.1015237926561062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1995D"/>
          </a:solidFill>
          <a:ln>
            <a:noFill/>
          </a:ln>
          <a:effectLst/>
        </c:spPr>
        <c:dLbl>
          <c:idx val="0"/>
          <c:layout>
            <c:manualLayout>
              <c:x val="2.3188744512073211E-2"/>
              <c:y val="-1.1936929406245127E-16"/>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1995D"/>
          </a:solidFill>
          <a:ln>
            <a:noFill/>
          </a:ln>
          <a:effectLst/>
        </c:spPr>
        <c:dLbl>
          <c:idx val="0"/>
          <c:layout>
            <c:manualLayout>
              <c:x val="9.2754994984291898E-3"/>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1995D"/>
          </a:solidFill>
          <a:ln>
            <a:noFill/>
          </a:ln>
          <a:effectLst/>
        </c:spPr>
        <c:dLbl>
          <c:idx val="0"/>
          <c:layout>
            <c:manualLayout>
              <c:x val="2.318874874607293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1995D"/>
          </a:solidFill>
          <a:ln>
            <a:noFill/>
          </a:ln>
          <a:effectLst/>
        </c:spPr>
        <c:dLbl>
          <c:idx val="0"/>
          <c:layout>
            <c:manualLayout>
              <c:x val="6.2609621614397037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1995D"/>
          </a:solidFill>
          <a:ln>
            <a:noFill/>
          </a:ln>
          <a:effectLst/>
        </c:spPr>
        <c:dLbl>
          <c:idx val="0"/>
          <c:layout>
            <c:manualLayout>
              <c:x val="3.9420872868324061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1995D"/>
          </a:solidFill>
          <a:ln>
            <a:noFill/>
          </a:ln>
          <a:effectLst/>
        </c:spPr>
        <c:dLbl>
          <c:idx val="0"/>
          <c:layout>
            <c:manualLayout>
              <c:x val="9.739274473350649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1995D"/>
          </a:solidFill>
          <a:ln>
            <a:noFill/>
          </a:ln>
          <a:effectLst/>
        </c:spPr>
        <c:dLbl>
          <c:idx val="0"/>
          <c:layout>
            <c:manualLayout>
              <c:x val="2.0869873871465678E-2"/>
              <c:y val="-5.9550738494093958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1995D"/>
          </a:solidFill>
          <a:ln>
            <a:noFill/>
          </a:ln>
          <a:effectLst/>
        </c:spPr>
        <c:dLbl>
          <c:idx val="0"/>
          <c:layout>
            <c:manualLayout>
              <c:x val="2.0869873871465678E-2"/>
              <c:y val="-2.9775369247046979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1995D"/>
          </a:solidFill>
          <a:ln>
            <a:noFill/>
          </a:ln>
          <a:effectLst/>
        </c:spPr>
        <c:dLbl>
          <c:idx val="0"/>
          <c:layout>
            <c:manualLayout>
              <c:x val="4.1739747742931356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1995D"/>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1995D"/>
          </a:solidFill>
          <a:ln>
            <a:noFill/>
          </a:ln>
          <a:effectLst/>
        </c:spPr>
        <c:dLbl>
          <c:idx val="0"/>
          <c:layout>
            <c:manualLayout>
              <c:x val="5.1015237926561062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1995D"/>
          </a:solidFill>
          <a:ln>
            <a:noFill/>
          </a:ln>
          <a:effectLst/>
        </c:spPr>
        <c:dLbl>
          <c:idx val="0"/>
          <c:layout>
            <c:manualLayout>
              <c:x val="2.3188744512073211E-2"/>
              <c:y val="-1.1936929406245127E-16"/>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1995D"/>
          </a:solidFill>
          <a:ln>
            <a:noFill/>
          </a:ln>
          <a:effectLst/>
        </c:spPr>
        <c:dLbl>
          <c:idx val="0"/>
          <c:layout>
            <c:manualLayout>
              <c:x val="9.2754994984291898E-3"/>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1995D"/>
          </a:solidFill>
          <a:ln>
            <a:noFill/>
          </a:ln>
          <a:effectLst/>
        </c:spPr>
        <c:dLbl>
          <c:idx val="0"/>
          <c:layout>
            <c:manualLayout>
              <c:x val="2.318874874607293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1995D"/>
          </a:solidFill>
          <a:ln>
            <a:noFill/>
          </a:ln>
          <a:effectLst/>
        </c:spPr>
        <c:dLbl>
          <c:idx val="0"/>
          <c:layout>
            <c:manualLayout>
              <c:x val="6.2609621614397037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1995D"/>
          </a:solidFill>
          <a:ln>
            <a:noFill/>
          </a:ln>
          <a:effectLst/>
        </c:spPr>
        <c:dLbl>
          <c:idx val="0"/>
          <c:layout>
            <c:manualLayout>
              <c:x val="3.9420872868324061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1995D"/>
          </a:solidFill>
          <a:ln>
            <a:noFill/>
          </a:ln>
          <a:effectLst/>
        </c:spPr>
        <c:dLbl>
          <c:idx val="0"/>
          <c:layout>
            <c:manualLayout>
              <c:x val="9.739274473350649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1995D"/>
          </a:solidFill>
          <a:ln>
            <a:noFill/>
          </a:ln>
          <a:effectLst/>
        </c:spPr>
        <c:dLbl>
          <c:idx val="0"/>
          <c:layout>
            <c:manualLayout>
              <c:x val="2.0869873871465678E-2"/>
              <c:y val="-5.9550738494093958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1995D"/>
          </a:solidFill>
          <a:ln>
            <a:noFill/>
          </a:ln>
          <a:effectLst/>
        </c:spPr>
        <c:dLbl>
          <c:idx val="0"/>
          <c:layout>
            <c:manualLayout>
              <c:x val="2.0869873871465678E-2"/>
              <c:y val="-2.9775369247046979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1995D"/>
          </a:solidFill>
          <a:ln>
            <a:noFill/>
          </a:ln>
          <a:effectLst/>
        </c:spPr>
        <c:dLbl>
          <c:idx val="0"/>
          <c:layout>
            <c:manualLayout>
              <c:x val="4.1739747742931356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1995D"/>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1995D"/>
          </a:solidFill>
          <a:ln>
            <a:noFill/>
          </a:ln>
          <a:effectLst/>
        </c:spPr>
        <c:dLbl>
          <c:idx val="0"/>
          <c:layout>
            <c:manualLayout>
              <c:x val="5.1015237926561062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1995D"/>
          </a:solidFill>
          <a:ln>
            <a:noFill/>
          </a:ln>
          <a:effectLst/>
        </c:spPr>
        <c:dLbl>
          <c:idx val="0"/>
          <c:layout>
            <c:manualLayout>
              <c:x val="2.3188744512073211E-2"/>
              <c:y val="-1.1936929406245127E-16"/>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1995D"/>
          </a:solidFill>
          <a:ln>
            <a:noFill/>
          </a:ln>
          <a:effectLst/>
        </c:spPr>
        <c:dLbl>
          <c:idx val="0"/>
          <c:layout>
            <c:manualLayout>
              <c:x val="9.2754994984291898E-3"/>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1995D"/>
          </a:solidFill>
          <a:ln>
            <a:noFill/>
          </a:ln>
          <a:effectLst/>
        </c:spPr>
        <c:dLbl>
          <c:idx val="0"/>
          <c:layout>
            <c:manualLayout>
              <c:x val="2.318874874607293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1995D"/>
          </a:solidFill>
          <a:ln>
            <a:noFill/>
          </a:ln>
          <a:effectLst/>
        </c:spPr>
        <c:dLbl>
          <c:idx val="0"/>
          <c:layout>
            <c:manualLayout>
              <c:x val="6.2609621614397037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1995D"/>
          </a:solidFill>
          <a:ln>
            <a:noFill/>
          </a:ln>
          <a:effectLst/>
        </c:spPr>
        <c:dLbl>
          <c:idx val="0"/>
          <c:layout>
            <c:manualLayout>
              <c:x val="3.9420872868324061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1995D"/>
          </a:solidFill>
          <a:ln>
            <a:noFill/>
          </a:ln>
          <a:effectLst/>
        </c:spPr>
        <c:dLbl>
          <c:idx val="0"/>
          <c:layout>
            <c:manualLayout>
              <c:x val="9.739274473350649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1995D"/>
          </a:solidFill>
          <a:ln>
            <a:noFill/>
          </a:ln>
          <a:effectLst/>
        </c:spPr>
        <c:dLbl>
          <c:idx val="0"/>
          <c:layout>
            <c:manualLayout>
              <c:x val="2.0869873871465678E-2"/>
              <c:y val="-5.9550738494093958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1995D"/>
          </a:solidFill>
          <a:ln>
            <a:noFill/>
          </a:ln>
          <a:effectLst/>
        </c:spPr>
        <c:dLbl>
          <c:idx val="0"/>
          <c:layout>
            <c:manualLayout>
              <c:x val="2.0869873871465678E-2"/>
              <c:y val="-2.9775369247046979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1995D"/>
          </a:solidFill>
          <a:ln>
            <a:noFill/>
          </a:ln>
          <a:effectLst/>
        </c:spPr>
        <c:dLbl>
          <c:idx val="0"/>
          <c:layout>
            <c:manualLayout>
              <c:x val="4.1739747742931356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1995D"/>
          </a:solidFill>
          <a:ln>
            <a:noFill/>
          </a:ln>
          <a:effectLst/>
        </c:spPr>
        <c:marker>
          <c:symbol val="none"/>
        </c:marker>
        <c:dLbl>
          <c:idx val="0"/>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1995D"/>
          </a:solidFill>
          <a:ln>
            <a:noFill/>
          </a:ln>
          <a:effectLst/>
        </c:spPr>
        <c:dLbl>
          <c:idx val="0"/>
          <c:layout>
            <c:manualLayout>
              <c:x val="5.1015237926561062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1995D"/>
          </a:solidFill>
          <a:ln>
            <a:noFill/>
          </a:ln>
          <a:effectLst/>
        </c:spPr>
        <c:dLbl>
          <c:idx val="0"/>
          <c:layout>
            <c:manualLayout>
              <c:x val="2.3188744512073211E-2"/>
              <c:y val="-1.1936929406245127E-16"/>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1995D"/>
          </a:solidFill>
          <a:ln>
            <a:noFill/>
          </a:ln>
          <a:effectLst/>
        </c:spPr>
        <c:dLbl>
          <c:idx val="0"/>
          <c:layout>
            <c:manualLayout>
              <c:x val="9.2754994984291898E-3"/>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1995D"/>
          </a:solidFill>
          <a:ln>
            <a:noFill/>
          </a:ln>
          <a:effectLst/>
        </c:spPr>
        <c:dLbl>
          <c:idx val="0"/>
          <c:layout>
            <c:manualLayout>
              <c:x val="2.318874874607293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1995D"/>
          </a:solidFill>
          <a:ln>
            <a:noFill/>
          </a:ln>
          <a:effectLst/>
        </c:spPr>
        <c:dLbl>
          <c:idx val="0"/>
          <c:layout>
            <c:manualLayout>
              <c:x val="6.2609621614397037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1995D"/>
          </a:solidFill>
          <a:ln>
            <a:noFill/>
          </a:ln>
          <a:effectLst/>
        </c:spPr>
        <c:dLbl>
          <c:idx val="0"/>
          <c:layout>
            <c:manualLayout>
              <c:x val="3.9420872868324061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1995D"/>
          </a:solidFill>
          <a:ln>
            <a:noFill/>
          </a:ln>
          <a:effectLst/>
        </c:spPr>
        <c:dLbl>
          <c:idx val="0"/>
          <c:layout>
            <c:manualLayout>
              <c:x val="9.7392744733506495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1995D"/>
          </a:solidFill>
          <a:ln>
            <a:noFill/>
          </a:ln>
          <a:effectLst/>
        </c:spPr>
        <c:dLbl>
          <c:idx val="0"/>
          <c:layout>
            <c:manualLayout>
              <c:x val="2.0869873871465678E-2"/>
              <c:y val="-5.9550738494093958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1995D"/>
          </a:solidFill>
          <a:ln>
            <a:noFill/>
          </a:ln>
          <a:effectLst/>
        </c:spPr>
        <c:dLbl>
          <c:idx val="0"/>
          <c:layout>
            <c:manualLayout>
              <c:x val="2.0869873871465678E-2"/>
              <c:y val="-2.9775369247046979E-17"/>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1995D"/>
          </a:solidFill>
          <a:ln>
            <a:noFill/>
          </a:ln>
          <a:effectLst/>
        </c:spPr>
        <c:dLbl>
          <c:idx val="0"/>
          <c:layout>
            <c:manualLayout>
              <c:x val="4.1739747742931356E-2"/>
              <c:y val="0"/>
            </c:manualLayout>
          </c:layout>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8236838100187"/>
          <c:y val="0.18221033411060333"/>
          <c:w val="0.85782244174568301"/>
          <c:h val="0.80444674128316385"/>
        </c:manualLayout>
      </c:layout>
      <c:barChart>
        <c:barDir val="bar"/>
        <c:grouping val="clustered"/>
        <c:varyColors val="0"/>
        <c:ser>
          <c:idx val="0"/>
          <c:order val="0"/>
          <c:tx>
            <c:strRef>
              <c:f>'PIVOT TABLE'!$E$37</c:f>
              <c:strCache>
                <c:ptCount val="1"/>
                <c:pt idx="0">
                  <c:v>Total</c:v>
                </c:pt>
              </c:strCache>
            </c:strRef>
          </c:tx>
          <c:spPr>
            <a:solidFill>
              <a:srgbClr val="F1995D"/>
            </a:solidFill>
            <a:ln>
              <a:noFill/>
            </a:ln>
            <a:effectLst/>
          </c:spPr>
          <c:invertIfNegative val="0"/>
          <c:dPt>
            <c:idx val="0"/>
            <c:invertIfNegative val="0"/>
            <c:bubble3D val="0"/>
            <c:spPr>
              <a:solidFill>
                <a:srgbClr val="F1995D"/>
              </a:solidFill>
              <a:ln>
                <a:noFill/>
              </a:ln>
              <a:effectLst/>
            </c:spPr>
            <c:extLst>
              <c:ext xmlns:c16="http://schemas.microsoft.com/office/drawing/2014/chart" uri="{C3380CC4-5D6E-409C-BE32-E72D297353CC}">
                <c16:uniqueId val="{00000000-AF56-4CDD-9109-C0744143424F}"/>
              </c:ext>
            </c:extLst>
          </c:dPt>
          <c:dPt>
            <c:idx val="1"/>
            <c:invertIfNegative val="0"/>
            <c:bubble3D val="0"/>
            <c:spPr>
              <a:solidFill>
                <a:srgbClr val="F1995D"/>
              </a:solidFill>
              <a:ln>
                <a:noFill/>
              </a:ln>
              <a:effectLst/>
            </c:spPr>
            <c:extLst>
              <c:ext xmlns:c16="http://schemas.microsoft.com/office/drawing/2014/chart" uri="{C3380CC4-5D6E-409C-BE32-E72D297353CC}">
                <c16:uniqueId val="{00000001-AF56-4CDD-9109-C0744143424F}"/>
              </c:ext>
            </c:extLst>
          </c:dPt>
          <c:dPt>
            <c:idx val="2"/>
            <c:invertIfNegative val="0"/>
            <c:bubble3D val="0"/>
            <c:spPr>
              <a:solidFill>
                <a:srgbClr val="F1995D"/>
              </a:solidFill>
              <a:ln>
                <a:noFill/>
              </a:ln>
              <a:effectLst/>
            </c:spPr>
            <c:extLst>
              <c:ext xmlns:c16="http://schemas.microsoft.com/office/drawing/2014/chart" uri="{C3380CC4-5D6E-409C-BE32-E72D297353CC}">
                <c16:uniqueId val="{00000002-AF56-4CDD-9109-C0744143424F}"/>
              </c:ext>
            </c:extLst>
          </c:dPt>
          <c:dPt>
            <c:idx val="3"/>
            <c:invertIfNegative val="0"/>
            <c:bubble3D val="0"/>
            <c:spPr>
              <a:solidFill>
                <a:srgbClr val="F1995D"/>
              </a:solidFill>
              <a:ln>
                <a:noFill/>
              </a:ln>
              <a:effectLst/>
            </c:spPr>
            <c:extLst>
              <c:ext xmlns:c16="http://schemas.microsoft.com/office/drawing/2014/chart" uri="{C3380CC4-5D6E-409C-BE32-E72D297353CC}">
                <c16:uniqueId val="{00000003-AF56-4CDD-9109-C0744143424F}"/>
              </c:ext>
            </c:extLst>
          </c:dPt>
          <c:dPt>
            <c:idx val="4"/>
            <c:invertIfNegative val="0"/>
            <c:bubble3D val="0"/>
            <c:spPr>
              <a:solidFill>
                <a:srgbClr val="F1995D"/>
              </a:solidFill>
              <a:ln>
                <a:noFill/>
              </a:ln>
              <a:effectLst/>
            </c:spPr>
            <c:extLst>
              <c:ext xmlns:c16="http://schemas.microsoft.com/office/drawing/2014/chart" uri="{C3380CC4-5D6E-409C-BE32-E72D297353CC}">
                <c16:uniqueId val="{00000004-AF56-4CDD-9109-C0744143424F}"/>
              </c:ext>
            </c:extLst>
          </c:dPt>
          <c:dPt>
            <c:idx val="5"/>
            <c:invertIfNegative val="0"/>
            <c:bubble3D val="0"/>
            <c:spPr>
              <a:solidFill>
                <a:srgbClr val="F1995D"/>
              </a:solidFill>
              <a:ln>
                <a:noFill/>
              </a:ln>
              <a:effectLst/>
            </c:spPr>
            <c:extLst>
              <c:ext xmlns:c16="http://schemas.microsoft.com/office/drawing/2014/chart" uri="{C3380CC4-5D6E-409C-BE32-E72D297353CC}">
                <c16:uniqueId val="{00000005-AF56-4CDD-9109-C0744143424F}"/>
              </c:ext>
            </c:extLst>
          </c:dPt>
          <c:dPt>
            <c:idx val="6"/>
            <c:invertIfNegative val="0"/>
            <c:bubble3D val="0"/>
            <c:spPr>
              <a:solidFill>
                <a:srgbClr val="F1995D"/>
              </a:solidFill>
              <a:ln>
                <a:noFill/>
              </a:ln>
              <a:effectLst/>
            </c:spPr>
            <c:extLst>
              <c:ext xmlns:c16="http://schemas.microsoft.com/office/drawing/2014/chart" uri="{C3380CC4-5D6E-409C-BE32-E72D297353CC}">
                <c16:uniqueId val="{00000006-AF56-4CDD-9109-C0744143424F}"/>
              </c:ext>
            </c:extLst>
          </c:dPt>
          <c:dPt>
            <c:idx val="7"/>
            <c:invertIfNegative val="0"/>
            <c:bubble3D val="0"/>
            <c:spPr>
              <a:solidFill>
                <a:srgbClr val="F1995D"/>
              </a:solidFill>
              <a:ln>
                <a:noFill/>
              </a:ln>
              <a:effectLst/>
            </c:spPr>
            <c:extLst>
              <c:ext xmlns:c16="http://schemas.microsoft.com/office/drawing/2014/chart" uri="{C3380CC4-5D6E-409C-BE32-E72D297353CC}">
                <c16:uniqueId val="{00000007-AF56-4CDD-9109-C0744143424F}"/>
              </c:ext>
            </c:extLst>
          </c:dPt>
          <c:dPt>
            <c:idx val="8"/>
            <c:invertIfNegative val="0"/>
            <c:bubble3D val="0"/>
            <c:spPr>
              <a:solidFill>
                <a:srgbClr val="F1995D"/>
              </a:solidFill>
              <a:ln>
                <a:noFill/>
              </a:ln>
              <a:effectLst/>
            </c:spPr>
            <c:extLst>
              <c:ext xmlns:c16="http://schemas.microsoft.com/office/drawing/2014/chart" uri="{C3380CC4-5D6E-409C-BE32-E72D297353CC}">
                <c16:uniqueId val="{00000008-AF56-4CDD-9109-C0744143424F}"/>
              </c:ext>
            </c:extLst>
          </c:dPt>
          <c:dPt>
            <c:idx val="9"/>
            <c:invertIfNegative val="0"/>
            <c:bubble3D val="0"/>
            <c:spPr>
              <a:solidFill>
                <a:srgbClr val="F1995D"/>
              </a:solidFill>
              <a:ln>
                <a:noFill/>
              </a:ln>
              <a:effectLst/>
            </c:spPr>
            <c:extLst>
              <c:ext xmlns:c16="http://schemas.microsoft.com/office/drawing/2014/chart" uri="{C3380CC4-5D6E-409C-BE32-E72D297353CC}">
                <c16:uniqueId val="{00000009-AF56-4CDD-9109-C0744143424F}"/>
              </c:ext>
            </c:extLst>
          </c:dPt>
          <c:dLbls>
            <c:dLbl>
              <c:idx val="0"/>
              <c:layout>
                <c:manualLayout>
                  <c:x val="5.10152379265610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56-4CDD-9109-C0744143424F}"/>
                </c:ext>
              </c:extLst>
            </c:dLbl>
            <c:dLbl>
              <c:idx val="1"/>
              <c:layout>
                <c:manualLayout>
                  <c:x val="2.3188744512073211E-2"/>
                  <c:y val="-1.193692940624512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56-4CDD-9109-C0744143424F}"/>
                </c:ext>
              </c:extLst>
            </c:dLbl>
            <c:dLbl>
              <c:idx val="2"/>
              <c:layout>
                <c:manualLayout>
                  <c:x val="9.275499498429189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56-4CDD-9109-C0744143424F}"/>
                </c:ext>
              </c:extLst>
            </c:dLbl>
            <c:dLbl>
              <c:idx val="3"/>
              <c:layout>
                <c:manualLayout>
                  <c:x val="2.31887487460729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56-4CDD-9109-C0744143424F}"/>
                </c:ext>
              </c:extLst>
            </c:dLbl>
            <c:dLbl>
              <c:idx val="4"/>
              <c:layout>
                <c:manualLayout>
                  <c:x val="6.26096216143970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56-4CDD-9109-C0744143424F}"/>
                </c:ext>
              </c:extLst>
            </c:dLbl>
            <c:dLbl>
              <c:idx val="5"/>
              <c:layout>
                <c:manualLayout>
                  <c:x val="3.942087286832406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56-4CDD-9109-C0744143424F}"/>
                </c:ext>
              </c:extLst>
            </c:dLbl>
            <c:dLbl>
              <c:idx val="6"/>
              <c:layout>
                <c:manualLayout>
                  <c:x val="9.739274473350649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56-4CDD-9109-C0744143424F}"/>
                </c:ext>
              </c:extLst>
            </c:dLbl>
            <c:dLbl>
              <c:idx val="7"/>
              <c:layout>
                <c:manualLayout>
                  <c:x val="2.0869873871465678E-2"/>
                  <c:y val="-5.955073849409395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56-4CDD-9109-C0744143424F}"/>
                </c:ext>
              </c:extLst>
            </c:dLbl>
            <c:dLbl>
              <c:idx val="8"/>
              <c:layout>
                <c:manualLayout>
                  <c:x val="2.0869873871465678E-2"/>
                  <c:y val="-2.977536924704697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56-4CDD-9109-C0744143424F}"/>
                </c:ext>
              </c:extLst>
            </c:dLbl>
            <c:dLbl>
              <c:idx val="9"/>
              <c:layout>
                <c:manualLayout>
                  <c:x val="4.173974774293135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56-4CDD-9109-C0744143424F}"/>
                </c:ext>
              </c:extLst>
            </c:dLbl>
            <c:numFmt formatCode="&quot;Rs&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TABLE'!$D$38:$D$48</c:f>
              <c:strCache>
                <c:ptCount val="10"/>
                <c:pt idx="0">
                  <c:v>AFFAN</c:v>
                </c:pt>
                <c:pt idx="1">
                  <c:v>AHMED</c:v>
                </c:pt>
                <c:pt idx="2">
                  <c:v>ALI</c:v>
                </c:pt>
                <c:pt idx="3">
                  <c:v>BILAL</c:v>
                </c:pt>
                <c:pt idx="4">
                  <c:v>HAMZA</c:v>
                </c:pt>
                <c:pt idx="5">
                  <c:v>HARIS</c:v>
                </c:pt>
                <c:pt idx="6">
                  <c:v>KAREEM</c:v>
                </c:pt>
                <c:pt idx="7">
                  <c:v>LARAIB</c:v>
                </c:pt>
                <c:pt idx="8">
                  <c:v>SAAD</c:v>
                </c:pt>
                <c:pt idx="9">
                  <c:v>WASIF</c:v>
                </c:pt>
              </c:strCache>
            </c:strRef>
          </c:cat>
          <c:val>
            <c:numRef>
              <c:f>'PIVOT TABLE'!$E$38:$E$48</c:f>
              <c:numCache>
                <c:formatCode>_-"Rs"* #,##0_-;\-"Rs"* #,##0_-;_-"Rs"* "-"??_-;_-@_-</c:formatCode>
                <c:ptCount val="10"/>
                <c:pt idx="0">
                  <c:v>1150050</c:v>
                </c:pt>
                <c:pt idx="1">
                  <c:v>4013000</c:v>
                </c:pt>
                <c:pt idx="2">
                  <c:v>8939100</c:v>
                </c:pt>
                <c:pt idx="3">
                  <c:v>2209200</c:v>
                </c:pt>
                <c:pt idx="4">
                  <c:v>3814800</c:v>
                </c:pt>
                <c:pt idx="5">
                  <c:v>3137100</c:v>
                </c:pt>
                <c:pt idx="6">
                  <c:v>4301000</c:v>
                </c:pt>
                <c:pt idx="7">
                  <c:v>1039350</c:v>
                </c:pt>
                <c:pt idx="8">
                  <c:v>4398500</c:v>
                </c:pt>
                <c:pt idx="9">
                  <c:v>2542800</c:v>
                </c:pt>
              </c:numCache>
            </c:numRef>
          </c:val>
          <c:extLst>
            <c:ext xmlns:c16="http://schemas.microsoft.com/office/drawing/2014/chart" uri="{C3380CC4-5D6E-409C-BE32-E72D297353CC}">
              <c16:uniqueId val="{0000000A-AF56-4CDD-9109-C0744143424F}"/>
            </c:ext>
          </c:extLst>
        </c:ser>
        <c:dLbls>
          <c:dLblPos val="outEnd"/>
          <c:showLegendKey val="0"/>
          <c:showVal val="1"/>
          <c:showCatName val="0"/>
          <c:showSerName val="0"/>
          <c:showPercent val="0"/>
          <c:showBubbleSize val="0"/>
        </c:dLbls>
        <c:gapWidth val="182"/>
        <c:axId val="1237841488"/>
        <c:axId val="1237843568"/>
      </c:barChart>
      <c:catAx>
        <c:axId val="1237841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PK"/>
          </a:p>
        </c:txPr>
        <c:crossAx val="1237843568"/>
        <c:crosses val="autoZero"/>
        <c:auto val="1"/>
        <c:lblAlgn val="ctr"/>
        <c:lblOffset val="100"/>
        <c:noMultiLvlLbl val="0"/>
      </c:catAx>
      <c:valAx>
        <c:axId val="1237843568"/>
        <c:scaling>
          <c:orientation val="minMax"/>
        </c:scaling>
        <c:delete val="1"/>
        <c:axPos val="b"/>
        <c:numFmt formatCode="_-&quot;Rs&quot;* #,##0_-;\-&quot;Rs&quot;* #,##0_-;_-&quot;Rs&quot;* &quot;-&quot;??_-;_-@_-" sourceLinked="1"/>
        <c:majorTickMark val="out"/>
        <c:minorTickMark val="none"/>
        <c:tickLblPos val="nextTo"/>
        <c:crossAx val="123784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85373</xdr:colOff>
      <xdr:row>17</xdr:row>
      <xdr:rowOff>63</xdr:rowOff>
    </xdr:from>
    <xdr:to>
      <xdr:col>19</xdr:col>
      <xdr:colOff>8147</xdr:colOff>
      <xdr:row>27</xdr:row>
      <xdr:rowOff>177800</xdr:rowOff>
    </xdr:to>
    <xdr:graphicFrame macro="">
      <xdr:nvGraphicFramePr>
        <xdr:cNvPr id="39" name="Chart 38">
          <a:extLst>
            <a:ext uri="{FF2B5EF4-FFF2-40B4-BE49-F238E27FC236}">
              <a16:creationId xmlns:a16="http://schemas.microsoft.com/office/drawing/2014/main" id="{148671E9-735F-4C23-98D6-807BF7663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76118</xdr:colOff>
      <xdr:row>3</xdr:row>
      <xdr:rowOff>115466</xdr:rowOff>
    </xdr:from>
    <xdr:to>
      <xdr:col>19</xdr:col>
      <xdr:colOff>8467</xdr:colOff>
      <xdr:row>16</xdr:row>
      <xdr:rowOff>177799</xdr:rowOff>
    </xdr:to>
    <xdr:graphicFrame macro="">
      <xdr:nvGraphicFramePr>
        <xdr:cNvPr id="40" name="Chart 39">
          <a:extLst>
            <a:ext uri="{FF2B5EF4-FFF2-40B4-BE49-F238E27FC236}">
              <a16:creationId xmlns:a16="http://schemas.microsoft.com/office/drawing/2014/main" id="{C774F80F-E5E7-4C61-B0D1-10C73A698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25401</xdr:colOff>
      <xdr:row>3</xdr:row>
      <xdr:rowOff>121707</xdr:rowOff>
    </xdr:from>
    <xdr:to>
      <xdr:col>13</xdr:col>
      <xdr:colOff>68373</xdr:colOff>
      <xdr:row>17</xdr:row>
      <xdr:rowOff>5289</xdr:rowOff>
    </xdr:to>
    <xdr:graphicFrame macro="">
      <xdr:nvGraphicFramePr>
        <xdr:cNvPr id="41" name="Chart 40">
          <a:extLst>
            <a:ext uri="{FF2B5EF4-FFF2-40B4-BE49-F238E27FC236}">
              <a16:creationId xmlns:a16="http://schemas.microsoft.com/office/drawing/2014/main" id="{1EF639D7-2C0D-45D6-81A8-8CF42F59D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14881</xdr:colOff>
      <xdr:row>17</xdr:row>
      <xdr:rowOff>12827</xdr:rowOff>
    </xdr:from>
    <xdr:to>
      <xdr:col>13</xdr:col>
      <xdr:colOff>72608</xdr:colOff>
      <xdr:row>28</xdr:row>
      <xdr:rowOff>-1</xdr:rowOff>
    </xdr:to>
    <xdr:graphicFrame macro="">
      <xdr:nvGraphicFramePr>
        <xdr:cNvPr id="42" name="Chart 41">
          <a:extLst>
            <a:ext uri="{FF2B5EF4-FFF2-40B4-BE49-F238E27FC236}">
              <a16:creationId xmlns:a16="http://schemas.microsoft.com/office/drawing/2014/main" id="{A3865432-2E55-42C8-AC12-DDA6CAEF9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18063</xdr:colOff>
      <xdr:row>17</xdr:row>
      <xdr:rowOff>12711</xdr:rowOff>
    </xdr:from>
    <xdr:to>
      <xdr:col>23</xdr:col>
      <xdr:colOff>11688</xdr:colOff>
      <xdr:row>27</xdr:row>
      <xdr:rowOff>169333</xdr:rowOff>
    </xdr:to>
    <mc:AlternateContent xmlns:mc="http://schemas.openxmlformats.org/markup-compatibility/2006" xmlns:a14="http://schemas.microsoft.com/office/drawing/2010/main">
      <mc:Choice Requires="a14">
        <xdr:graphicFrame macro="">
          <xdr:nvGraphicFramePr>
            <xdr:cNvPr id="43" name="PRODUCT">
              <a:extLst>
                <a:ext uri="{FF2B5EF4-FFF2-40B4-BE49-F238E27FC236}">
                  <a16:creationId xmlns:a16="http://schemas.microsoft.com/office/drawing/2014/main" id="{C905258C-5A77-4A4B-ACC7-74FDB0BD90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00463" y="3179244"/>
              <a:ext cx="2432025" cy="20192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16934</xdr:colOff>
      <xdr:row>3</xdr:row>
      <xdr:rowOff>132733</xdr:rowOff>
    </xdr:from>
    <xdr:to>
      <xdr:col>23</xdr:col>
      <xdr:colOff>3528</xdr:colOff>
      <xdr:row>17</xdr:row>
      <xdr:rowOff>8465</xdr:rowOff>
    </xdr:to>
    <mc:AlternateContent xmlns:mc="http://schemas.openxmlformats.org/markup-compatibility/2006" xmlns:a14="http://schemas.microsoft.com/office/drawing/2010/main">
      <mc:Choice Requires="a14">
        <xdr:graphicFrame macro="">
          <xdr:nvGraphicFramePr>
            <xdr:cNvPr id="44" name="AREA">
              <a:extLst>
                <a:ext uri="{FF2B5EF4-FFF2-40B4-BE49-F238E27FC236}">
                  <a16:creationId xmlns:a16="http://schemas.microsoft.com/office/drawing/2014/main" id="{5A533010-03E1-450C-9B65-AE240CADD2A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1599334" y="691533"/>
              <a:ext cx="2424994" cy="248346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1043</xdr:rowOff>
    </xdr:from>
    <xdr:to>
      <xdr:col>5</xdr:col>
      <xdr:colOff>10559</xdr:colOff>
      <xdr:row>27</xdr:row>
      <xdr:rowOff>186266</xdr:rowOff>
    </xdr:to>
    <mc:AlternateContent xmlns:mc="http://schemas.openxmlformats.org/markup-compatibility/2006" xmlns:a14="http://schemas.microsoft.com/office/drawing/2010/main">
      <mc:Choice Requires="a14">
        <xdr:graphicFrame macro="">
          <xdr:nvGraphicFramePr>
            <xdr:cNvPr id="45" name="DEALER">
              <a:extLst>
                <a:ext uri="{FF2B5EF4-FFF2-40B4-BE49-F238E27FC236}">
                  <a16:creationId xmlns:a16="http://schemas.microsoft.com/office/drawing/2014/main" id="{D2295BF3-D53F-4E95-9FB8-F70BA2400F44}"/>
                </a:ext>
              </a:extLst>
            </xdr:cNvPr>
            <xdr:cNvGraphicFramePr/>
          </xdr:nvGraphicFramePr>
          <xdr:xfrm>
            <a:off x="0" y="0"/>
            <a:ext cx="0" cy="0"/>
          </xdr:xfrm>
          <a:graphic>
            <a:graphicData uri="http://schemas.microsoft.com/office/drawing/2010/slicer">
              <sle:slicer xmlns:sle="http://schemas.microsoft.com/office/drawing/2010/slicer" name="DEALER"/>
            </a:graphicData>
          </a:graphic>
        </xdr:graphicFrame>
      </mc:Choice>
      <mc:Fallback xmlns="">
        <xdr:sp macro="" textlink="">
          <xdr:nvSpPr>
            <xdr:cNvPr id="0" name=""/>
            <xdr:cNvSpPr>
              <a:spLocks noTextEdit="1"/>
            </xdr:cNvSpPr>
          </xdr:nvSpPr>
          <xdr:spPr>
            <a:xfrm>
              <a:off x="609600" y="3167576"/>
              <a:ext cx="2448959" cy="204789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143092</xdr:rowOff>
    </xdr:from>
    <xdr:to>
      <xdr:col>5</xdr:col>
      <xdr:colOff>19026</xdr:colOff>
      <xdr:row>15</xdr:row>
      <xdr:rowOff>143933</xdr:rowOff>
    </xdr:to>
    <mc:AlternateContent xmlns:mc="http://schemas.openxmlformats.org/markup-compatibility/2006" xmlns:a14="http://schemas.microsoft.com/office/drawing/2010/main">
      <mc:Choice Requires="a14">
        <xdr:graphicFrame macro="">
          <xdr:nvGraphicFramePr>
            <xdr:cNvPr id="46" name="Months">
              <a:extLst>
                <a:ext uri="{FF2B5EF4-FFF2-40B4-BE49-F238E27FC236}">
                  <a16:creationId xmlns:a16="http://schemas.microsoft.com/office/drawing/2014/main" id="{1950D68A-C230-447F-BCC5-7776717A7B6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609600" y="701892"/>
              <a:ext cx="2457426" cy="245617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0</xdr:rowOff>
    </xdr:from>
    <xdr:to>
      <xdr:col>25</xdr:col>
      <xdr:colOff>25400</xdr:colOff>
      <xdr:row>3</xdr:row>
      <xdr:rowOff>134154</xdr:rowOff>
    </xdr:to>
    <xdr:sp macro="" textlink="">
      <xdr:nvSpPr>
        <xdr:cNvPr id="47" name="TextBox 46">
          <a:extLst>
            <a:ext uri="{FF2B5EF4-FFF2-40B4-BE49-F238E27FC236}">
              <a16:creationId xmlns:a16="http://schemas.microsoft.com/office/drawing/2014/main" id="{AF33C49A-8DA2-4450-BBB3-DFE1E0E05448}"/>
            </a:ext>
          </a:extLst>
        </xdr:cNvPr>
        <xdr:cNvSpPr txBox="1"/>
      </xdr:nvSpPr>
      <xdr:spPr>
        <a:xfrm>
          <a:off x="609600" y="186267"/>
          <a:ext cx="14655800" cy="506687"/>
        </a:xfrm>
        <a:prstGeom prst="rect">
          <a:avLst/>
        </a:prstGeom>
        <a:solidFill>
          <a:schemeClr val="accent2">
            <a:lumMod val="50000"/>
          </a:schemeClr>
        </a:solidFill>
        <a:ln w="9525" cmpd="sng">
          <a:solidFill>
            <a:schemeClr val="lt1">
              <a:shade val="50000"/>
            </a:schemeClr>
          </a:solidFill>
        </a:ln>
        <a:effectLst>
          <a:outerShdw blurRad="241300" dir="2580000" algn="ctr" rotWithShape="0">
            <a:srgbClr val="000000">
              <a:alpha val="33000"/>
            </a:srgb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u="dbl">
              <a:solidFill>
                <a:schemeClr val="accent2">
                  <a:lumMod val="20000"/>
                  <a:lumOff val="80000"/>
                </a:schemeClr>
              </a:solidFill>
            </a:rPr>
            <a:t>SALES  DASHBOARD</a:t>
          </a:r>
        </a:p>
        <a:p>
          <a:endParaRPr lang="en-PK" sz="1100"/>
        </a:p>
      </xdr:txBody>
    </xdr:sp>
    <xdr:clientData/>
  </xdr:twoCellAnchor>
  <xdr:twoCellAnchor>
    <xdr:from>
      <xdr:col>23</xdr:col>
      <xdr:colOff>8468</xdr:colOff>
      <xdr:row>3</xdr:row>
      <xdr:rowOff>135466</xdr:rowOff>
    </xdr:from>
    <xdr:to>
      <xdr:col>25</xdr:col>
      <xdr:colOff>16934</xdr:colOff>
      <xdr:row>10</xdr:row>
      <xdr:rowOff>25400</xdr:rowOff>
    </xdr:to>
    <xdr:grpSp>
      <xdr:nvGrpSpPr>
        <xdr:cNvPr id="48" name="Group 47">
          <a:extLst>
            <a:ext uri="{FF2B5EF4-FFF2-40B4-BE49-F238E27FC236}">
              <a16:creationId xmlns:a16="http://schemas.microsoft.com/office/drawing/2014/main" id="{AE580D90-8F94-4C7E-962D-ED984E4087D6}"/>
            </a:ext>
          </a:extLst>
        </xdr:cNvPr>
        <xdr:cNvGrpSpPr/>
      </xdr:nvGrpSpPr>
      <xdr:grpSpPr>
        <a:xfrm>
          <a:off x="14029268" y="702733"/>
          <a:ext cx="1227666" cy="1193800"/>
          <a:chOff x="13419667" y="507999"/>
          <a:chExt cx="1227666" cy="897467"/>
        </a:xfrm>
      </xdr:grpSpPr>
      <xdr:sp macro="" textlink="">
        <xdr:nvSpPr>
          <xdr:cNvPr id="49" name="TextBox 48">
            <a:extLst>
              <a:ext uri="{FF2B5EF4-FFF2-40B4-BE49-F238E27FC236}">
                <a16:creationId xmlns:a16="http://schemas.microsoft.com/office/drawing/2014/main" id="{1163B89E-4BC8-40C3-B292-5C2BC6DB6795}"/>
              </a:ext>
            </a:extLst>
          </xdr:cNvPr>
          <xdr:cNvSpPr txBox="1"/>
        </xdr:nvSpPr>
        <xdr:spPr>
          <a:xfrm>
            <a:off x="13419667" y="507999"/>
            <a:ext cx="1227666" cy="89746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accent2">
                    <a:lumMod val="50000"/>
                  </a:schemeClr>
                </a:solidFill>
              </a:rPr>
              <a:t>TOTAL SLAES</a:t>
            </a:r>
            <a:endParaRPr lang="en-PK" sz="1400" b="1">
              <a:solidFill>
                <a:schemeClr val="accent2">
                  <a:lumMod val="50000"/>
                </a:schemeClr>
              </a:solidFill>
            </a:endParaRPr>
          </a:p>
        </xdr:txBody>
      </xdr:sp>
      <xdr:sp macro="" textlink="'PIVOT TABLE'!E3">
        <xdr:nvSpPr>
          <xdr:cNvPr id="50" name="TextBox 49">
            <a:extLst>
              <a:ext uri="{FF2B5EF4-FFF2-40B4-BE49-F238E27FC236}">
                <a16:creationId xmlns:a16="http://schemas.microsoft.com/office/drawing/2014/main" id="{2B01A6E1-9540-4BFE-B3D3-C008C16E4808}"/>
              </a:ext>
            </a:extLst>
          </xdr:cNvPr>
          <xdr:cNvSpPr txBox="1"/>
        </xdr:nvSpPr>
        <xdr:spPr>
          <a:xfrm>
            <a:off x="13436601" y="872066"/>
            <a:ext cx="1193800" cy="507999"/>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3CF64345-46CE-457A-A0F2-5FF445982E14}" type="TxLink">
              <a:rPr lang="en-US" sz="18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cs typeface="Calibri"/>
              </a:rPr>
              <a:pPr algn="ctr"/>
              <a:t>Rs 35.54M</a:t>
            </a:fld>
            <a:endParaRPr lang="en-GB" sz="3200" b="1" cap="none" spc="0">
              <a:ln w="6600">
                <a:solidFill>
                  <a:schemeClr val="accent2"/>
                </a:solidFill>
                <a:prstDash val="solid"/>
              </a:ln>
              <a:solidFill>
                <a:srgbClr val="FFFFFF"/>
              </a:solidFill>
              <a:effectLst>
                <a:outerShdw dist="38100" dir="2700000" algn="tl" rotWithShape="0">
                  <a:schemeClr val="accent2"/>
                </a:outerShdw>
              </a:effectLst>
            </a:endParaRPr>
          </a:p>
        </xdr:txBody>
      </xdr:sp>
    </xdr:grpSp>
    <xdr:clientData/>
  </xdr:twoCellAnchor>
  <xdr:twoCellAnchor>
    <xdr:from>
      <xdr:col>23</xdr:col>
      <xdr:colOff>8467</xdr:colOff>
      <xdr:row>10</xdr:row>
      <xdr:rowOff>25399</xdr:rowOff>
    </xdr:from>
    <xdr:to>
      <xdr:col>25</xdr:col>
      <xdr:colOff>16933</xdr:colOff>
      <xdr:row>17</xdr:row>
      <xdr:rowOff>1</xdr:rowOff>
    </xdr:to>
    <xdr:grpSp>
      <xdr:nvGrpSpPr>
        <xdr:cNvPr id="51" name="Group 50">
          <a:extLst>
            <a:ext uri="{FF2B5EF4-FFF2-40B4-BE49-F238E27FC236}">
              <a16:creationId xmlns:a16="http://schemas.microsoft.com/office/drawing/2014/main" id="{238A665D-CF57-411C-A32F-96F8D5E89EE6}"/>
            </a:ext>
          </a:extLst>
        </xdr:cNvPr>
        <xdr:cNvGrpSpPr/>
      </xdr:nvGrpSpPr>
      <xdr:grpSpPr>
        <a:xfrm>
          <a:off x="14029267" y="1896532"/>
          <a:ext cx="1227666" cy="1278469"/>
          <a:chOff x="13419667" y="1701799"/>
          <a:chExt cx="1227666" cy="1278468"/>
        </a:xfrm>
      </xdr:grpSpPr>
      <xdr:sp macro="" textlink="">
        <xdr:nvSpPr>
          <xdr:cNvPr id="52" name="TextBox 51">
            <a:extLst>
              <a:ext uri="{FF2B5EF4-FFF2-40B4-BE49-F238E27FC236}">
                <a16:creationId xmlns:a16="http://schemas.microsoft.com/office/drawing/2014/main" id="{6585EA97-F441-439B-ACBC-32EAE6A689A8}"/>
              </a:ext>
            </a:extLst>
          </xdr:cNvPr>
          <xdr:cNvSpPr txBox="1"/>
        </xdr:nvSpPr>
        <xdr:spPr>
          <a:xfrm>
            <a:off x="13419667" y="1701799"/>
            <a:ext cx="1227666" cy="127846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accent2">
                    <a:lumMod val="50000"/>
                  </a:schemeClr>
                </a:solidFill>
              </a:rPr>
              <a:t>TOTAL COST</a:t>
            </a:r>
            <a:endParaRPr lang="en-PK" sz="1400" b="1">
              <a:solidFill>
                <a:schemeClr val="accent2">
                  <a:lumMod val="50000"/>
                </a:schemeClr>
              </a:solidFill>
            </a:endParaRPr>
          </a:p>
        </xdr:txBody>
      </xdr:sp>
      <xdr:sp macro="" textlink="'PIVOT TABLE'!E4">
        <xdr:nvSpPr>
          <xdr:cNvPr id="53" name="TextBox 52">
            <a:extLst>
              <a:ext uri="{FF2B5EF4-FFF2-40B4-BE49-F238E27FC236}">
                <a16:creationId xmlns:a16="http://schemas.microsoft.com/office/drawing/2014/main" id="{880FB98E-9A60-436F-A2B5-1A46B4B16965}"/>
              </a:ext>
            </a:extLst>
          </xdr:cNvPr>
          <xdr:cNvSpPr txBox="1"/>
        </xdr:nvSpPr>
        <xdr:spPr>
          <a:xfrm>
            <a:off x="13436601" y="2196302"/>
            <a:ext cx="1193800" cy="723659"/>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9E4910C0-0C33-4CEF-AEF9-D1E545DF6764}" type="TxLink">
              <a:rPr lang="en-US" sz="18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cs typeface="Calibri"/>
              </a:rPr>
              <a:pPr algn="ctr"/>
              <a:t>Rs 17.10M</a:t>
            </a:fld>
            <a:endParaRPr lang="en-GB" sz="4800" b="1" cap="none" spc="0">
              <a:ln w="6600">
                <a:solidFill>
                  <a:schemeClr val="accent2"/>
                </a:solidFill>
                <a:prstDash val="solid"/>
              </a:ln>
              <a:solidFill>
                <a:srgbClr val="FFFFFF"/>
              </a:solidFill>
              <a:effectLst>
                <a:outerShdw dist="38100" dir="2700000" algn="tl" rotWithShape="0">
                  <a:schemeClr val="accent2"/>
                </a:outerShdw>
              </a:effectLst>
            </a:endParaRPr>
          </a:p>
        </xdr:txBody>
      </xdr:sp>
    </xdr:grpSp>
    <xdr:clientData/>
  </xdr:twoCellAnchor>
  <xdr:twoCellAnchor>
    <xdr:from>
      <xdr:col>23</xdr:col>
      <xdr:colOff>8467</xdr:colOff>
      <xdr:row>17</xdr:row>
      <xdr:rowOff>8467</xdr:rowOff>
    </xdr:from>
    <xdr:to>
      <xdr:col>25</xdr:col>
      <xdr:colOff>16933</xdr:colOff>
      <xdr:row>22</xdr:row>
      <xdr:rowOff>93133</xdr:rowOff>
    </xdr:to>
    <xdr:grpSp>
      <xdr:nvGrpSpPr>
        <xdr:cNvPr id="54" name="Group 53">
          <a:extLst>
            <a:ext uri="{FF2B5EF4-FFF2-40B4-BE49-F238E27FC236}">
              <a16:creationId xmlns:a16="http://schemas.microsoft.com/office/drawing/2014/main" id="{A104B803-709E-44E3-A237-1D3106653827}"/>
            </a:ext>
          </a:extLst>
        </xdr:cNvPr>
        <xdr:cNvGrpSpPr/>
      </xdr:nvGrpSpPr>
      <xdr:grpSpPr>
        <a:xfrm>
          <a:off x="14029267" y="3183467"/>
          <a:ext cx="1227666" cy="1015999"/>
          <a:chOff x="13419667" y="2988733"/>
          <a:chExt cx="1227666" cy="1016000"/>
        </a:xfrm>
      </xdr:grpSpPr>
      <xdr:sp macro="" textlink="">
        <xdr:nvSpPr>
          <xdr:cNvPr id="55" name="TextBox 54">
            <a:extLst>
              <a:ext uri="{FF2B5EF4-FFF2-40B4-BE49-F238E27FC236}">
                <a16:creationId xmlns:a16="http://schemas.microsoft.com/office/drawing/2014/main" id="{F07A2A0F-2781-4049-9817-545BB90E808F}"/>
              </a:ext>
            </a:extLst>
          </xdr:cNvPr>
          <xdr:cNvSpPr txBox="1"/>
        </xdr:nvSpPr>
        <xdr:spPr>
          <a:xfrm>
            <a:off x="13419667" y="2988733"/>
            <a:ext cx="1227666" cy="10160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accent2">
                    <a:lumMod val="50000"/>
                  </a:schemeClr>
                </a:solidFill>
              </a:rPr>
              <a:t>TOTAL PROFIT</a:t>
            </a:r>
            <a:endParaRPr lang="en-PK" sz="1200" b="1">
              <a:solidFill>
                <a:schemeClr val="accent2">
                  <a:lumMod val="50000"/>
                </a:schemeClr>
              </a:solidFill>
            </a:endParaRPr>
          </a:p>
        </xdr:txBody>
      </xdr:sp>
      <xdr:sp macro="" textlink="'PIVOT TABLE'!E5">
        <xdr:nvSpPr>
          <xdr:cNvPr id="56" name="TextBox 55">
            <a:extLst>
              <a:ext uri="{FF2B5EF4-FFF2-40B4-BE49-F238E27FC236}">
                <a16:creationId xmlns:a16="http://schemas.microsoft.com/office/drawing/2014/main" id="{22D48ED3-86E3-4754-B748-DB864295BC02}"/>
              </a:ext>
            </a:extLst>
          </xdr:cNvPr>
          <xdr:cNvSpPr txBox="1"/>
        </xdr:nvSpPr>
        <xdr:spPr>
          <a:xfrm>
            <a:off x="13436601" y="3400884"/>
            <a:ext cx="1193800" cy="575093"/>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CBB9C18C-F9F0-4A9E-8AEC-69A4655026DB}" type="TxLink">
              <a:rPr lang="en-US" sz="18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cs typeface="Calibri"/>
              </a:rPr>
              <a:pPr algn="ctr"/>
              <a:t>Rs 18.44M</a:t>
            </a:fld>
            <a:endParaRPr lang="en-GB" sz="4800" b="1" cap="none" spc="0">
              <a:ln w="6600">
                <a:solidFill>
                  <a:schemeClr val="accent2"/>
                </a:solidFill>
                <a:prstDash val="solid"/>
              </a:ln>
              <a:solidFill>
                <a:srgbClr val="FFFFFF"/>
              </a:solidFill>
              <a:effectLst>
                <a:outerShdw dist="38100" dir="2700000" algn="tl" rotWithShape="0">
                  <a:schemeClr val="accent2"/>
                </a:outerShdw>
              </a:effectLst>
            </a:endParaRPr>
          </a:p>
        </xdr:txBody>
      </xdr:sp>
    </xdr:grpSp>
    <xdr:clientData/>
  </xdr:twoCellAnchor>
  <xdr:twoCellAnchor>
    <xdr:from>
      <xdr:col>23</xdr:col>
      <xdr:colOff>8467</xdr:colOff>
      <xdr:row>22</xdr:row>
      <xdr:rowOff>93133</xdr:rowOff>
    </xdr:from>
    <xdr:to>
      <xdr:col>25</xdr:col>
      <xdr:colOff>16933</xdr:colOff>
      <xdr:row>27</xdr:row>
      <xdr:rowOff>169334</xdr:rowOff>
    </xdr:to>
    <xdr:grpSp>
      <xdr:nvGrpSpPr>
        <xdr:cNvPr id="57" name="Group 56">
          <a:extLst>
            <a:ext uri="{FF2B5EF4-FFF2-40B4-BE49-F238E27FC236}">
              <a16:creationId xmlns:a16="http://schemas.microsoft.com/office/drawing/2014/main" id="{AE3D4B1F-0379-4B7B-9743-9C5C72A4EFA6}"/>
            </a:ext>
          </a:extLst>
        </xdr:cNvPr>
        <xdr:cNvGrpSpPr/>
      </xdr:nvGrpSpPr>
      <xdr:grpSpPr>
        <a:xfrm>
          <a:off x="14029267" y="4199466"/>
          <a:ext cx="1227666" cy="1007535"/>
          <a:chOff x="13419667" y="4004733"/>
          <a:chExt cx="1227666" cy="1007534"/>
        </a:xfrm>
      </xdr:grpSpPr>
      <xdr:sp macro="" textlink="">
        <xdr:nvSpPr>
          <xdr:cNvPr id="58" name="TextBox 57">
            <a:extLst>
              <a:ext uri="{FF2B5EF4-FFF2-40B4-BE49-F238E27FC236}">
                <a16:creationId xmlns:a16="http://schemas.microsoft.com/office/drawing/2014/main" id="{18C90A10-327F-4D2C-8B83-F2A94504F4E3}"/>
              </a:ext>
            </a:extLst>
          </xdr:cNvPr>
          <xdr:cNvSpPr txBox="1"/>
        </xdr:nvSpPr>
        <xdr:spPr>
          <a:xfrm>
            <a:off x="13419667" y="4004733"/>
            <a:ext cx="1227666" cy="100753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accent2">
                    <a:lumMod val="50000"/>
                  </a:schemeClr>
                </a:solidFill>
              </a:rPr>
              <a:t>TOTAL QTY</a:t>
            </a:r>
            <a:endParaRPr lang="en-PK" sz="1400" b="1">
              <a:solidFill>
                <a:schemeClr val="accent2">
                  <a:lumMod val="50000"/>
                </a:schemeClr>
              </a:solidFill>
            </a:endParaRPr>
          </a:p>
        </xdr:txBody>
      </xdr:sp>
      <xdr:sp macro="" textlink="'PIVOT TABLE'!E6">
        <xdr:nvSpPr>
          <xdr:cNvPr id="59" name="TextBox 58">
            <a:extLst>
              <a:ext uri="{FF2B5EF4-FFF2-40B4-BE49-F238E27FC236}">
                <a16:creationId xmlns:a16="http://schemas.microsoft.com/office/drawing/2014/main" id="{A742CFD3-4147-4471-8BA1-2E00173E189A}"/>
              </a:ext>
            </a:extLst>
          </xdr:cNvPr>
          <xdr:cNvSpPr txBox="1"/>
        </xdr:nvSpPr>
        <xdr:spPr>
          <a:xfrm>
            <a:off x="13436601" y="4413450"/>
            <a:ext cx="1193800" cy="570301"/>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92AAC821-E4AF-4943-B97E-FB4E1B0C9873}" type="TxLink">
              <a:rPr lang="en-US" sz="18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cs typeface="Calibri"/>
              </a:rPr>
              <a:pPr algn="ctr"/>
              <a:t>18921</a:t>
            </a:fld>
            <a:endParaRPr lang="en-GB"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CTURE 2"/>
      <sheetName val="LECTURE 3"/>
      <sheetName val="Sheet2"/>
    </sheetNames>
    <sheetDataSet>
      <sheetData sheetId="0">
        <row r="12">
          <cell r="B12" t="str">
            <v>C-001</v>
          </cell>
          <cell r="C12" t="str">
            <v>United States</v>
          </cell>
          <cell r="D12" t="str">
            <v>X-PRODUCT</v>
          </cell>
          <cell r="E12">
            <v>1344</v>
          </cell>
          <cell r="F12">
            <v>76519</v>
          </cell>
          <cell r="G12">
            <v>94120</v>
          </cell>
          <cell r="H12">
            <v>23655744</v>
          </cell>
          <cell r="I12">
            <v>102841536</v>
          </cell>
          <cell r="J12">
            <v>126497280</v>
          </cell>
        </row>
        <row r="13">
          <cell r="B13" t="str">
            <v>C-002</v>
          </cell>
          <cell r="C13" t="str">
            <v>Canada</v>
          </cell>
          <cell r="D13" t="str">
            <v>Y-PRODUCT</v>
          </cell>
          <cell r="E13">
            <v>1288</v>
          </cell>
          <cell r="F13">
            <v>71495</v>
          </cell>
          <cell r="G13">
            <v>90900</v>
          </cell>
          <cell r="H13">
            <v>24993640</v>
          </cell>
          <cell r="I13">
            <v>92085560</v>
          </cell>
          <cell r="J13">
            <v>117079200</v>
          </cell>
        </row>
        <row r="14">
          <cell r="B14" t="str">
            <v>C-003</v>
          </cell>
          <cell r="C14" t="str">
            <v>United Kingdom</v>
          </cell>
          <cell r="D14" t="str">
            <v>Z-PRODUCT</v>
          </cell>
          <cell r="E14">
            <v>1811</v>
          </cell>
          <cell r="F14">
            <v>77266</v>
          </cell>
          <cell r="G14">
            <v>90583</v>
          </cell>
          <cell r="H14">
            <v>24117087</v>
          </cell>
          <cell r="I14">
            <v>139928726</v>
          </cell>
          <cell r="J14">
            <v>164045813</v>
          </cell>
        </row>
        <row r="15">
          <cell r="B15" t="str">
            <v>C-004</v>
          </cell>
          <cell r="C15" t="str">
            <v>Germany</v>
          </cell>
          <cell r="D15" t="str">
            <v>X-PRODUCT</v>
          </cell>
          <cell r="E15">
            <v>1654</v>
          </cell>
          <cell r="F15">
            <v>70497</v>
          </cell>
          <cell r="G15">
            <v>93523</v>
          </cell>
          <cell r="H15">
            <v>38085004</v>
          </cell>
          <cell r="I15">
            <v>116602038</v>
          </cell>
          <cell r="J15">
            <v>154687042</v>
          </cell>
        </row>
        <row r="16">
          <cell r="B16" t="str">
            <v>C-005</v>
          </cell>
          <cell r="C16" t="str">
            <v>France</v>
          </cell>
          <cell r="D16" t="str">
            <v>Y-PRODUCT</v>
          </cell>
          <cell r="E16">
            <v>1127</v>
          </cell>
          <cell r="F16">
            <v>70550</v>
          </cell>
          <cell r="G16">
            <v>94494</v>
          </cell>
          <cell r="H16">
            <v>26984888</v>
          </cell>
          <cell r="I16">
            <v>79509850</v>
          </cell>
          <cell r="J16">
            <v>106494738</v>
          </cell>
        </row>
        <row r="17">
          <cell r="B17" t="str">
            <v>C-006</v>
          </cell>
          <cell r="C17" t="str">
            <v>Japan</v>
          </cell>
          <cell r="D17" t="str">
            <v>Z-PRODUCT</v>
          </cell>
          <cell r="E17">
            <v>1909</v>
          </cell>
          <cell r="F17">
            <v>78897</v>
          </cell>
          <cell r="G17">
            <v>91476</v>
          </cell>
          <cell r="H17">
            <v>24013311</v>
          </cell>
          <cell r="I17">
            <v>150614373</v>
          </cell>
          <cell r="J17">
            <v>174627684</v>
          </cell>
        </row>
        <row r="18">
          <cell r="B18" t="str">
            <v>C-007</v>
          </cell>
          <cell r="C18" t="str">
            <v>Australia</v>
          </cell>
          <cell r="D18" t="str">
            <v>X-PRODUCT</v>
          </cell>
          <cell r="E18">
            <v>1695</v>
          </cell>
          <cell r="F18">
            <v>76852</v>
          </cell>
          <cell r="G18">
            <v>90130</v>
          </cell>
          <cell r="H18">
            <v>22506210</v>
          </cell>
          <cell r="I18">
            <v>130264140</v>
          </cell>
          <cell r="J18">
            <v>152770350</v>
          </cell>
        </row>
        <row r="19">
          <cell r="B19" t="str">
            <v>C-008</v>
          </cell>
          <cell r="C19" t="str">
            <v>South Korea</v>
          </cell>
          <cell r="D19" t="str">
            <v>Y-PRODUCT</v>
          </cell>
          <cell r="E19">
            <v>1366</v>
          </cell>
          <cell r="F19">
            <v>79507</v>
          </cell>
          <cell r="G19">
            <v>94308</v>
          </cell>
          <cell r="H19">
            <v>20218166</v>
          </cell>
          <cell r="I19">
            <v>108606562</v>
          </cell>
          <cell r="J19">
            <v>128824728</v>
          </cell>
        </row>
        <row r="20">
          <cell r="B20" t="str">
            <v>C-009</v>
          </cell>
          <cell r="C20" t="str">
            <v>Singapore</v>
          </cell>
          <cell r="D20" t="str">
            <v>Z-PRODUCT</v>
          </cell>
          <cell r="E20">
            <v>1747</v>
          </cell>
          <cell r="F20">
            <v>75796</v>
          </cell>
          <cell r="G20">
            <v>97584</v>
          </cell>
          <cell r="H20">
            <v>38063636</v>
          </cell>
          <cell r="I20">
            <v>132415612</v>
          </cell>
          <cell r="J20">
            <v>170479248</v>
          </cell>
        </row>
        <row r="21">
          <cell r="B21" t="str">
            <v>C-010</v>
          </cell>
          <cell r="C21" t="str">
            <v xml:space="preserve"> Switzerland</v>
          </cell>
          <cell r="D21" t="str">
            <v>X-PRODUCT</v>
          </cell>
          <cell r="E21">
            <v>1112</v>
          </cell>
          <cell r="F21">
            <v>74100</v>
          </cell>
          <cell r="G21">
            <v>92997</v>
          </cell>
          <cell r="H21">
            <v>21013464</v>
          </cell>
          <cell r="I21">
            <v>82399200</v>
          </cell>
          <cell r="J21">
            <v>103412664</v>
          </cell>
        </row>
        <row r="22">
          <cell r="B22" t="str">
            <v>C-011</v>
          </cell>
          <cell r="C22" t="str">
            <v xml:space="preserve"> Sweden</v>
          </cell>
          <cell r="D22" t="str">
            <v>Y-PRODUCT</v>
          </cell>
          <cell r="E22">
            <v>1227</v>
          </cell>
          <cell r="F22">
            <v>71776</v>
          </cell>
          <cell r="G22">
            <v>99184</v>
          </cell>
          <cell r="H22">
            <v>33629616</v>
          </cell>
          <cell r="I22">
            <v>88069152</v>
          </cell>
          <cell r="J22">
            <v>121698768</v>
          </cell>
        </row>
        <row r="23">
          <cell r="B23" t="str">
            <v>C-012</v>
          </cell>
          <cell r="C23" t="str">
            <v xml:space="preserve"> Netherlands</v>
          </cell>
          <cell r="D23" t="str">
            <v>Z-PRODUCT</v>
          </cell>
          <cell r="E23">
            <v>1725</v>
          </cell>
          <cell r="F23">
            <v>73345</v>
          </cell>
          <cell r="G23">
            <v>99163</v>
          </cell>
          <cell r="H23">
            <v>44536050</v>
          </cell>
          <cell r="I23">
            <v>126520125</v>
          </cell>
          <cell r="J23">
            <v>171056175</v>
          </cell>
        </row>
        <row r="24">
          <cell r="B24" t="str">
            <v>C-013</v>
          </cell>
          <cell r="C24" t="str">
            <v xml:space="preserve"> Denmark</v>
          </cell>
          <cell r="D24" t="str">
            <v>X-PRODUCT</v>
          </cell>
          <cell r="E24">
            <v>1956</v>
          </cell>
          <cell r="F24">
            <v>77651</v>
          </cell>
          <cell r="G24">
            <v>92800</v>
          </cell>
          <cell r="H24">
            <v>29631444</v>
          </cell>
          <cell r="I24">
            <v>151885356</v>
          </cell>
          <cell r="J24">
            <v>181516800</v>
          </cell>
        </row>
        <row r="25">
          <cell r="B25" t="str">
            <v>C-014</v>
          </cell>
          <cell r="C25" t="str">
            <v xml:space="preserve"> Norway</v>
          </cell>
          <cell r="D25" t="str">
            <v>Y-PRODUCT</v>
          </cell>
          <cell r="E25">
            <v>1658</v>
          </cell>
          <cell r="F25">
            <v>74295</v>
          </cell>
          <cell r="G25">
            <v>98046</v>
          </cell>
          <cell r="H25">
            <v>39379158</v>
          </cell>
          <cell r="I25">
            <v>123181110</v>
          </cell>
          <cell r="J25">
            <v>162560268</v>
          </cell>
        </row>
        <row r="26">
          <cell r="B26" t="str">
            <v>C-015</v>
          </cell>
          <cell r="C26" t="str">
            <v xml:space="preserve"> Finland</v>
          </cell>
          <cell r="D26" t="str">
            <v>Z-PRODUCT</v>
          </cell>
          <cell r="E26">
            <v>1455</v>
          </cell>
          <cell r="F26">
            <v>74789</v>
          </cell>
          <cell r="G26">
            <v>98208</v>
          </cell>
          <cell r="H26">
            <v>34074645</v>
          </cell>
          <cell r="I26">
            <v>108817995</v>
          </cell>
          <cell r="J26">
            <v>142892640</v>
          </cell>
        </row>
        <row r="27">
          <cell r="B27" t="str">
            <v>C-016</v>
          </cell>
          <cell r="C27" t="str">
            <v xml:space="preserve"> Austria</v>
          </cell>
          <cell r="D27" t="str">
            <v>X-PRODUCT</v>
          </cell>
          <cell r="E27">
            <v>1986</v>
          </cell>
          <cell r="F27">
            <v>74805</v>
          </cell>
          <cell r="G27">
            <v>94995</v>
          </cell>
          <cell r="H27">
            <v>40097340</v>
          </cell>
          <cell r="I27">
            <v>148562730</v>
          </cell>
          <cell r="J27">
            <v>188660070</v>
          </cell>
        </row>
        <row r="28">
          <cell r="B28" t="str">
            <v>C-017</v>
          </cell>
          <cell r="C28" t="str">
            <v xml:space="preserve"> Belgium</v>
          </cell>
          <cell r="D28" t="str">
            <v>Y-PRODUCT</v>
          </cell>
          <cell r="E28">
            <v>1693</v>
          </cell>
          <cell r="F28">
            <v>75246</v>
          </cell>
          <cell r="G28">
            <v>97639</v>
          </cell>
          <cell r="H28">
            <v>37911349</v>
          </cell>
          <cell r="I28">
            <v>127391478</v>
          </cell>
          <cell r="J28">
            <v>165302827</v>
          </cell>
        </row>
        <row r="29">
          <cell r="B29" t="str">
            <v>C-018</v>
          </cell>
          <cell r="C29" t="str">
            <v xml:space="preserve"> Luxembourg</v>
          </cell>
          <cell r="D29" t="str">
            <v>Z-PRODUCT</v>
          </cell>
          <cell r="E29">
            <v>1853</v>
          </cell>
          <cell r="F29">
            <v>73484</v>
          </cell>
          <cell r="G29">
            <v>98752</v>
          </cell>
          <cell r="H29">
            <v>46821604</v>
          </cell>
          <cell r="I29">
            <v>136165852</v>
          </cell>
          <cell r="J29">
            <v>182987456</v>
          </cell>
        </row>
        <row r="30">
          <cell r="B30" t="str">
            <v>C-019</v>
          </cell>
          <cell r="C30" t="str">
            <v xml:space="preserve"> Ireland</v>
          </cell>
          <cell r="D30" t="str">
            <v>X-PRODUCT</v>
          </cell>
          <cell r="E30">
            <v>1619</v>
          </cell>
          <cell r="F30">
            <v>71982</v>
          </cell>
          <cell r="G30">
            <v>97226</v>
          </cell>
          <cell r="H30">
            <v>40870036</v>
          </cell>
          <cell r="I30">
            <v>116538858</v>
          </cell>
          <cell r="J30">
            <v>157408894</v>
          </cell>
        </row>
        <row r="31">
          <cell r="B31" t="str">
            <v>C-020</v>
          </cell>
          <cell r="C31" t="str">
            <v xml:space="preserve"> Iceland</v>
          </cell>
          <cell r="D31" t="str">
            <v>Y-PRODUCT</v>
          </cell>
          <cell r="E31">
            <v>1294</v>
          </cell>
          <cell r="F31">
            <v>75476</v>
          </cell>
          <cell r="G31">
            <v>96656</v>
          </cell>
          <cell r="H31">
            <v>27406920</v>
          </cell>
          <cell r="I31">
            <v>97665944</v>
          </cell>
          <cell r="J31">
            <v>125072864</v>
          </cell>
        </row>
        <row r="32">
          <cell r="B32" t="str">
            <v>C-021</v>
          </cell>
          <cell r="C32" t="str">
            <v xml:space="preserve"> New Zealand</v>
          </cell>
          <cell r="D32" t="str">
            <v>Z-PRODUCT</v>
          </cell>
          <cell r="E32">
            <v>1982</v>
          </cell>
          <cell r="F32">
            <v>78529</v>
          </cell>
          <cell r="G32">
            <v>95476</v>
          </cell>
          <cell r="H32">
            <v>33588954</v>
          </cell>
          <cell r="I32">
            <v>155644478</v>
          </cell>
          <cell r="J32">
            <v>189233432</v>
          </cell>
        </row>
        <row r="33">
          <cell r="B33" t="str">
            <v>C-022</v>
          </cell>
          <cell r="C33" t="str">
            <v xml:space="preserve"> Hong Kong (SAR of China)</v>
          </cell>
          <cell r="D33" t="str">
            <v>X-PRODUCT</v>
          </cell>
          <cell r="E33">
            <v>1580</v>
          </cell>
          <cell r="F33">
            <v>73836</v>
          </cell>
          <cell r="G33">
            <v>91782</v>
          </cell>
          <cell r="H33">
            <v>28354680</v>
          </cell>
          <cell r="I33">
            <v>116660880</v>
          </cell>
          <cell r="J33">
            <v>145015560</v>
          </cell>
        </row>
        <row r="34">
          <cell r="B34" t="str">
            <v>C-023</v>
          </cell>
          <cell r="C34" t="str">
            <v xml:space="preserve"> Taiwan</v>
          </cell>
          <cell r="D34" t="str">
            <v>Y-PRODUCT</v>
          </cell>
          <cell r="E34">
            <v>1067</v>
          </cell>
          <cell r="F34">
            <v>71088</v>
          </cell>
          <cell r="G34">
            <v>98878</v>
          </cell>
          <cell r="H34">
            <v>29651930</v>
          </cell>
          <cell r="I34">
            <v>75850896</v>
          </cell>
          <cell r="J34">
            <v>105502826</v>
          </cell>
        </row>
        <row r="35">
          <cell r="B35" t="str">
            <v>C-024</v>
          </cell>
          <cell r="C35" t="str">
            <v>pakistan</v>
          </cell>
          <cell r="D35" t="str">
            <v>Z-PRODUCT</v>
          </cell>
          <cell r="E35">
            <v>1709</v>
          </cell>
          <cell r="F35">
            <v>79335</v>
          </cell>
          <cell r="G35">
            <v>90095</v>
          </cell>
          <cell r="H35">
            <v>18388840</v>
          </cell>
          <cell r="I35">
            <v>135583515</v>
          </cell>
          <cell r="J35">
            <v>153972355</v>
          </cell>
        </row>
        <row r="36">
          <cell r="B36" t="str">
            <v>C-025</v>
          </cell>
          <cell r="C36" t="str">
            <v xml:space="preserve"> United Arab Emirates</v>
          </cell>
          <cell r="D36" t="str">
            <v>X-PRODUCT</v>
          </cell>
          <cell r="E36">
            <v>1212</v>
          </cell>
          <cell r="F36">
            <v>71814</v>
          </cell>
          <cell r="G36">
            <v>95932</v>
          </cell>
          <cell r="H36">
            <v>29231016</v>
          </cell>
          <cell r="I36">
            <v>87038568</v>
          </cell>
          <cell r="J36">
            <v>116269584</v>
          </cell>
        </row>
        <row r="37">
          <cell r="B37" t="str">
            <v>C-026</v>
          </cell>
          <cell r="C37" t="str">
            <v xml:space="preserve"> Qatar</v>
          </cell>
          <cell r="D37" t="str">
            <v>Y-PRODUCT</v>
          </cell>
          <cell r="E37">
            <v>1145</v>
          </cell>
          <cell r="F37">
            <v>78332</v>
          </cell>
          <cell r="G37">
            <v>98948</v>
          </cell>
          <cell r="H37">
            <v>23605320</v>
          </cell>
          <cell r="I37">
            <v>89690140</v>
          </cell>
          <cell r="J37">
            <v>113295460</v>
          </cell>
        </row>
        <row r="38">
          <cell r="B38" t="str">
            <v>C-027</v>
          </cell>
          <cell r="C38" t="str">
            <v xml:space="preserve"> Kuwait</v>
          </cell>
          <cell r="D38" t="str">
            <v>Z-PRODUCT</v>
          </cell>
          <cell r="E38">
            <v>1263</v>
          </cell>
          <cell r="F38">
            <v>77305</v>
          </cell>
          <cell r="G38">
            <v>98198</v>
          </cell>
          <cell r="H38">
            <v>26387859</v>
          </cell>
          <cell r="I38">
            <v>97636215</v>
          </cell>
          <cell r="J38">
            <v>124024074</v>
          </cell>
        </row>
        <row r="39">
          <cell r="B39" t="str">
            <v>C-028</v>
          </cell>
          <cell r="C39" t="str">
            <v xml:space="preserve"> Bahrain</v>
          </cell>
          <cell r="D39" t="str">
            <v>X-PRODUCT</v>
          </cell>
          <cell r="E39">
            <v>1287</v>
          </cell>
          <cell r="F39">
            <v>72001</v>
          </cell>
          <cell r="G39">
            <v>93956</v>
          </cell>
          <cell r="H39">
            <v>28256085</v>
          </cell>
          <cell r="I39">
            <v>92665287</v>
          </cell>
          <cell r="J39">
            <v>120921372</v>
          </cell>
        </row>
        <row r="40">
          <cell r="B40" t="str">
            <v>C-029</v>
          </cell>
          <cell r="C40" t="str">
            <v xml:space="preserve"> Saudi Arabia</v>
          </cell>
          <cell r="D40" t="str">
            <v>Y-PRODUCT</v>
          </cell>
          <cell r="E40">
            <v>1546</v>
          </cell>
          <cell r="F40">
            <v>79874</v>
          </cell>
          <cell r="G40">
            <v>91548</v>
          </cell>
          <cell r="H40">
            <v>18048004</v>
          </cell>
          <cell r="I40">
            <v>123485204</v>
          </cell>
          <cell r="J40">
            <v>141533208</v>
          </cell>
        </row>
        <row r="41">
          <cell r="B41" t="str">
            <v>C-030</v>
          </cell>
          <cell r="C41" t="str">
            <v xml:space="preserve"> Macao (SAR of China)</v>
          </cell>
          <cell r="D41" t="str">
            <v>Z-PRODUCT</v>
          </cell>
          <cell r="E41">
            <v>1434</v>
          </cell>
          <cell r="F41">
            <v>78100</v>
          </cell>
          <cell r="G41">
            <v>91786</v>
          </cell>
          <cell r="H41">
            <v>19625724</v>
          </cell>
          <cell r="I41">
            <v>111995400</v>
          </cell>
          <cell r="J41">
            <v>131621124</v>
          </cell>
        </row>
        <row r="42">
          <cell r="B42" t="str">
            <v>C-031</v>
          </cell>
          <cell r="C42" t="str">
            <v xml:space="preserve"> Brunei Darussalam</v>
          </cell>
          <cell r="D42" t="str">
            <v>X-PRODUCT</v>
          </cell>
          <cell r="E42">
            <v>1067</v>
          </cell>
          <cell r="F42">
            <v>79490</v>
          </cell>
          <cell r="G42">
            <v>98958</v>
          </cell>
          <cell r="H42">
            <v>20772356</v>
          </cell>
          <cell r="I42">
            <v>84815830</v>
          </cell>
          <cell r="J42">
            <v>105588186</v>
          </cell>
        </row>
        <row r="43">
          <cell r="B43" t="str">
            <v>C-032</v>
          </cell>
          <cell r="C43" t="str">
            <v xml:space="preserve"> Cyprus</v>
          </cell>
          <cell r="D43" t="str">
            <v>Y-PRODUCT</v>
          </cell>
          <cell r="E43">
            <v>1652</v>
          </cell>
          <cell r="F43">
            <v>75361</v>
          </cell>
          <cell r="G43">
            <v>98050</v>
          </cell>
          <cell r="H43">
            <v>37482228</v>
          </cell>
          <cell r="I43">
            <v>124496372</v>
          </cell>
          <cell r="J43">
            <v>161978600</v>
          </cell>
        </row>
        <row r="44">
          <cell r="B44" t="str">
            <v>C-033</v>
          </cell>
          <cell r="C44" t="str">
            <v xml:space="preserve"> Malta</v>
          </cell>
          <cell r="D44" t="str">
            <v>Z-PRODUCT</v>
          </cell>
          <cell r="E44">
            <v>1487</v>
          </cell>
          <cell r="F44">
            <v>73795</v>
          </cell>
          <cell r="G44">
            <v>98432</v>
          </cell>
          <cell r="H44">
            <v>36635219</v>
          </cell>
          <cell r="I44">
            <v>109733165</v>
          </cell>
          <cell r="J44">
            <v>146368384</v>
          </cell>
        </row>
        <row r="45">
          <cell r="B45" t="str">
            <v>C-034</v>
          </cell>
          <cell r="C45" t="str">
            <v xml:space="preserve"> Andorra</v>
          </cell>
          <cell r="D45" t="str">
            <v>X-PRODUCT</v>
          </cell>
          <cell r="E45">
            <v>1250</v>
          </cell>
          <cell r="F45">
            <v>77222</v>
          </cell>
          <cell r="G45">
            <v>94585</v>
          </cell>
          <cell r="H45">
            <v>21703750</v>
          </cell>
          <cell r="I45">
            <v>96527500</v>
          </cell>
          <cell r="J45">
            <v>118231250</v>
          </cell>
        </row>
        <row r="46">
          <cell r="B46" t="str">
            <v>C-035</v>
          </cell>
          <cell r="C46" t="str">
            <v xml:space="preserve"> San Marino</v>
          </cell>
          <cell r="D46" t="str">
            <v>Y-PRODUCT</v>
          </cell>
          <cell r="E46">
            <v>1981</v>
          </cell>
          <cell r="F46">
            <v>75191</v>
          </cell>
          <cell r="G46">
            <v>90413</v>
          </cell>
          <cell r="H46">
            <v>30154782</v>
          </cell>
          <cell r="I46">
            <v>148953371</v>
          </cell>
          <cell r="J46">
            <v>179108153</v>
          </cell>
        </row>
        <row r="47">
          <cell r="B47" t="str">
            <v>C-036</v>
          </cell>
          <cell r="C47" t="str">
            <v xml:space="preserve"> South Africa</v>
          </cell>
          <cell r="D47" t="str">
            <v>Z-PRODUCT</v>
          </cell>
          <cell r="E47">
            <v>1918</v>
          </cell>
          <cell r="F47">
            <v>73445</v>
          </cell>
          <cell r="G47">
            <v>94244</v>
          </cell>
          <cell r="H47">
            <v>39892482</v>
          </cell>
          <cell r="I47">
            <v>140867510</v>
          </cell>
          <cell r="J47">
            <v>180759992</v>
          </cell>
        </row>
        <row r="48">
          <cell r="B48" t="str">
            <v>C-037</v>
          </cell>
          <cell r="C48" t="str">
            <v xml:space="preserve"> Botswana</v>
          </cell>
          <cell r="D48" t="str">
            <v>X-PRODUCT</v>
          </cell>
          <cell r="E48">
            <v>1851</v>
          </cell>
          <cell r="F48">
            <v>73931</v>
          </cell>
          <cell r="G48">
            <v>97343</v>
          </cell>
          <cell r="H48">
            <v>43335612</v>
          </cell>
          <cell r="I48">
            <v>136846281</v>
          </cell>
          <cell r="J48">
            <v>180181893</v>
          </cell>
        </row>
        <row r="49">
          <cell r="B49" t="str">
            <v>C-038</v>
          </cell>
          <cell r="C49" t="str">
            <v xml:space="preserve"> Namibia</v>
          </cell>
          <cell r="D49" t="str">
            <v>Y-PRODUCT</v>
          </cell>
          <cell r="E49">
            <v>1855</v>
          </cell>
          <cell r="F49">
            <v>79135</v>
          </cell>
          <cell r="G49">
            <v>97241</v>
          </cell>
          <cell r="H49">
            <v>33586630</v>
          </cell>
          <cell r="I49">
            <v>146795425</v>
          </cell>
          <cell r="J49">
            <v>180382055</v>
          </cell>
        </row>
        <row r="50">
          <cell r="B50" t="str">
            <v>C-039</v>
          </cell>
          <cell r="C50" t="str">
            <v xml:space="preserve"> Seychelles</v>
          </cell>
          <cell r="D50" t="str">
            <v>Z-PRODUCT</v>
          </cell>
          <cell r="E50">
            <v>1964</v>
          </cell>
          <cell r="F50">
            <v>78112</v>
          </cell>
          <cell r="G50">
            <v>92963</v>
          </cell>
          <cell r="H50">
            <v>29167364</v>
          </cell>
          <cell r="I50">
            <v>153411968</v>
          </cell>
          <cell r="J50">
            <v>182579332</v>
          </cell>
        </row>
        <row r="51">
          <cell r="B51" t="str">
            <v>C-040</v>
          </cell>
          <cell r="C51" t="str">
            <v xml:space="preserve"> Mauritius</v>
          </cell>
          <cell r="D51" t="str">
            <v>X-PRODUCT</v>
          </cell>
          <cell r="E51">
            <v>1865</v>
          </cell>
          <cell r="F51">
            <v>73503</v>
          </cell>
          <cell r="G51">
            <v>92958</v>
          </cell>
          <cell r="H51">
            <v>36283575</v>
          </cell>
          <cell r="I51">
            <v>137083095</v>
          </cell>
          <cell r="J51">
            <v>173366670</v>
          </cell>
        </row>
        <row r="52">
          <cell r="B52" t="str">
            <v>C-041</v>
          </cell>
          <cell r="C52" t="str">
            <v xml:space="preserve"> Chile</v>
          </cell>
          <cell r="D52" t="str">
            <v>Y-PRODUCT</v>
          </cell>
          <cell r="E52">
            <v>1379</v>
          </cell>
          <cell r="F52">
            <v>77673</v>
          </cell>
          <cell r="G52">
            <v>96763</v>
          </cell>
          <cell r="H52">
            <v>26325110</v>
          </cell>
          <cell r="I52">
            <v>107111067</v>
          </cell>
          <cell r="J52">
            <v>133436177</v>
          </cell>
        </row>
        <row r="53">
          <cell r="B53" t="str">
            <v>C-042</v>
          </cell>
          <cell r="C53" t="str">
            <v xml:space="preserve"> Argentina</v>
          </cell>
          <cell r="D53" t="str">
            <v>Z-PRODUCT</v>
          </cell>
          <cell r="E53">
            <v>1241</v>
          </cell>
          <cell r="F53">
            <v>77578</v>
          </cell>
          <cell r="G53">
            <v>99605</v>
          </cell>
          <cell r="H53">
            <v>27335507</v>
          </cell>
          <cell r="I53">
            <v>96274298</v>
          </cell>
          <cell r="J53">
            <v>123609805</v>
          </cell>
        </row>
        <row r="54">
          <cell r="B54" t="str">
            <v>C-043</v>
          </cell>
          <cell r="C54" t="str">
            <v xml:space="preserve"> Uruguay</v>
          </cell>
          <cell r="D54" t="str">
            <v>X-PRODUCT</v>
          </cell>
          <cell r="E54">
            <v>1862</v>
          </cell>
          <cell r="F54">
            <v>79220</v>
          </cell>
          <cell r="G54">
            <v>95865</v>
          </cell>
          <cell r="H54">
            <v>30992990</v>
          </cell>
          <cell r="I54">
            <v>147507640</v>
          </cell>
          <cell r="J54">
            <v>178500630</v>
          </cell>
        </row>
        <row r="55">
          <cell r="B55" t="str">
            <v>C-044</v>
          </cell>
          <cell r="C55" t="str">
            <v xml:space="preserve"> Brazil</v>
          </cell>
          <cell r="D55" t="str">
            <v>Y-PRODUCT</v>
          </cell>
          <cell r="E55">
            <v>1026</v>
          </cell>
          <cell r="F55">
            <v>78821</v>
          </cell>
          <cell r="G55">
            <v>95601</v>
          </cell>
          <cell r="H55">
            <v>17216280</v>
          </cell>
          <cell r="I55">
            <v>80870346</v>
          </cell>
          <cell r="J55">
            <v>98086626</v>
          </cell>
        </row>
        <row r="56">
          <cell r="B56" t="str">
            <v>C-045</v>
          </cell>
          <cell r="C56" t="str">
            <v xml:space="preserve"> Mexico</v>
          </cell>
          <cell r="D56" t="str">
            <v>Z-PRODUCT</v>
          </cell>
          <cell r="E56">
            <v>1425</v>
          </cell>
          <cell r="F56">
            <v>70860</v>
          </cell>
          <cell r="G56">
            <v>92110</v>
          </cell>
          <cell r="H56">
            <v>30281250</v>
          </cell>
          <cell r="I56">
            <v>100975500</v>
          </cell>
          <cell r="J56">
            <v>131256750</v>
          </cell>
        </row>
        <row r="57">
          <cell r="B57" t="str">
            <v>C-046</v>
          </cell>
          <cell r="C57" t="str">
            <v xml:space="preserve"> Costa Rica</v>
          </cell>
          <cell r="D57" t="str">
            <v>X-PRODUCT</v>
          </cell>
          <cell r="E57">
            <v>1874</v>
          </cell>
          <cell r="F57">
            <v>72204</v>
          </cell>
          <cell r="G57">
            <v>93043</v>
          </cell>
          <cell r="H57">
            <v>39052286</v>
          </cell>
          <cell r="I57">
            <v>135310296</v>
          </cell>
          <cell r="J57">
            <v>174362582</v>
          </cell>
        </row>
        <row r="58">
          <cell r="B58" t="str">
            <v>C-047</v>
          </cell>
          <cell r="C58" t="str">
            <v xml:space="preserve"> Panama</v>
          </cell>
          <cell r="D58" t="str">
            <v>Y-PRODUCT</v>
          </cell>
          <cell r="E58">
            <v>1043</v>
          </cell>
          <cell r="F58">
            <v>74196</v>
          </cell>
          <cell r="G58">
            <v>97044</v>
          </cell>
          <cell r="H58">
            <v>23830464</v>
          </cell>
          <cell r="I58">
            <v>77386428</v>
          </cell>
          <cell r="J58">
            <v>101216892</v>
          </cell>
        </row>
        <row r="59">
          <cell r="B59" t="str">
            <v>C-048</v>
          </cell>
          <cell r="C59" t="str">
            <v xml:space="preserve"> Malaysia</v>
          </cell>
          <cell r="D59" t="str">
            <v>Z-PRODUCT</v>
          </cell>
          <cell r="E59">
            <v>1076</v>
          </cell>
          <cell r="F59">
            <v>71895</v>
          </cell>
          <cell r="G59">
            <v>93800</v>
          </cell>
          <cell r="H59">
            <v>23569780</v>
          </cell>
          <cell r="I59">
            <v>77359020</v>
          </cell>
          <cell r="J59">
            <v>100928800</v>
          </cell>
        </row>
        <row r="60">
          <cell r="B60" t="str">
            <v>C-049</v>
          </cell>
          <cell r="C60" t="str">
            <v xml:space="preserve"> Thailand</v>
          </cell>
          <cell r="D60" t="str">
            <v>X-PRODUCT</v>
          </cell>
          <cell r="E60">
            <v>1438</v>
          </cell>
          <cell r="F60">
            <v>77082</v>
          </cell>
          <cell r="G60">
            <v>99083</v>
          </cell>
          <cell r="H60">
            <v>31637438</v>
          </cell>
          <cell r="I60">
            <v>110843916</v>
          </cell>
          <cell r="J60">
            <v>142481354</v>
          </cell>
        </row>
        <row r="61">
          <cell r="B61" t="str">
            <v>C-050</v>
          </cell>
          <cell r="C61" t="str">
            <v xml:space="preserve"> South Korea</v>
          </cell>
          <cell r="D61" t="str">
            <v>Y-PRODUCT</v>
          </cell>
          <cell r="E61">
            <v>1088</v>
          </cell>
          <cell r="F61">
            <v>72235</v>
          </cell>
          <cell r="G61">
            <v>94932</v>
          </cell>
          <cell r="H61">
            <v>24694336</v>
          </cell>
          <cell r="I61">
            <v>78591680</v>
          </cell>
          <cell r="J61">
            <v>103286016</v>
          </cell>
        </row>
        <row r="62">
          <cell r="B62" t="str">
            <v>C-051</v>
          </cell>
          <cell r="C62" t="str">
            <v>CHINA</v>
          </cell>
          <cell r="D62" t="str">
            <v>Z-PRODUCT</v>
          </cell>
          <cell r="E62">
            <v>1546</v>
          </cell>
          <cell r="F62">
            <v>74000</v>
          </cell>
          <cell r="G62">
            <v>96000</v>
          </cell>
          <cell r="H62">
            <v>34012000</v>
          </cell>
          <cell r="I62">
            <v>114404000</v>
          </cell>
          <cell r="J62">
            <v>148416000</v>
          </cell>
        </row>
        <row r="63">
          <cell r="B63" t="str">
            <v>C-052</v>
          </cell>
          <cell r="C63" t="str">
            <v>POLAND</v>
          </cell>
          <cell r="D63" t="str">
            <v>X-PRODUCT</v>
          </cell>
          <cell r="E63">
            <v>1564</v>
          </cell>
          <cell r="F63">
            <v>76000</v>
          </cell>
          <cell r="G63">
            <v>98000</v>
          </cell>
          <cell r="H63">
            <v>34408000</v>
          </cell>
          <cell r="I63">
            <v>118864000</v>
          </cell>
          <cell r="J63">
            <v>153272000</v>
          </cell>
        </row>
        <row r="64">
          <cell r="B64" t="str">
            <v>C-053</v>
          </cell>
          <cell r="C64" t="str">
            <v>KENYA</v>
          </cell>
          <cell r="D64" t="str">
            <v>Y-PRODUCT</v>
          </cell>
          <cell r="E64">
            <v>1700</v>
          </cell>
          <cell r="F64">
            <v>72000</v>
          </cell>
          <cell r="G64">
            <v>91000</v>
          </cell>
          <cell r="H64">
            <v>32300000</v>
          </cell>
          <cell r="I64">
            <v>122400000</v>
          </cell>
          <cell r="J64">
            <v>154700000</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8.154299884256" createdVersion="7" refreshedVersion="7" minRefreshableVersion="3" recordCount="365" xr:uid="{7E8DED7A-327C-44C8-92FB-ACF73819D954}">
  <cacheSource type="worksheet">
    <worksheetSource name="Table4"/>
  </cacheSource>
  <cacheFields count="11">
    <cacheField name="DATE" numFmtId="165">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0"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PRODUCT" numFmtId="0">
      <sharedItems count="10">
        <s v="C.PANT"/>
        <s v="S.KAMEEZ"/>
        <s v="HOODIE"/>
        <s v="T.SUIT"/>
        <s v="JEANS"/>
        <s v="T.SHIRT"/>
        <s v="CAP"/>
        <s v="SHIRT"/>
        <s v="PURSE"/>
        <s v="WALLET"/>
      </sharedItems>
    </cacheField>
    <cacheField name="QTY" numFmtId="0">
      <sharedItems containsSemiMixedTypes="0" containsString="0" containsNumber="1" containsInteger="1" minValue="1" maxValue="100"/>
    </cacheField>
    <cacheField name="AREA" numFmtId="0">
      <sharedItems count="10">
        <s v="GULSHAN"/>
        <s v="JOHAR"/>
        <s v="NAZIMABAD"/>
        <s v="BAHADURABAD"/>
        <s v="TARIQ ROAD"/>
        <s v="DEFENCE"/>
        <s v="KORANGI"/>
        <s v="GARDEN"/>
        <s v="ORANGI"/>
        <s v="MALIR"/>
      </sharedItems>
    </cacheField>
    <cacheField name="DEALER" numFmtId="0">
      <sharedItems count="10">
        <s v="ALI"/>
        <s v="AHMED"/>
        <s v="HARIS"/>
        <s v="HAMZA"/>
        <s v="SAAD"/>
        <s v="BILAL"/>
        <s v="AFFAN"/>
        <s v="WASIF"/>
        <s v="KAREEM"/>
        <s v="LARAIB"/>
      </sharedItems>
    </cacheField>
    <cacheField name="COST PRICE" numFmtId="0">
      <sharedItems containsSemiMixedTypes="0" containsString="0" containsNumber="1" containsInteger="1" minValue="200" maxValue="2500"/>
    </cacheField>
    <cacheField name="TOTAL COST" numFmtId="0">
      <sharedItems containsSemiMixedTypes="0" containsString="0" containsNumber="1" containsInteger="1" minValue="200" maxValue="250000"/>
    </cacheField>
    <cacheField name="SALE PRICE " numFmtId="0">
      <sharedItems containsSemiMixedTypes="0" containsString="0" containsNumber="1" containsInteger="1" minValue="550" maxValue="5500"/>
    </cacheField>
    <cacheField name="TOTAL SALES" numFmtId="0">
      <sharedItems containsSemiMixedTypes="0" containsString="0" containsNumber="1" containsInteger="1" minValue="550" maxValue="550000" count="251">
        <n v="550000"/>
        <n v="195000"/>
        <n v="87000"/>
        <n v="136000"/>
        <n v="59400"/>
        <n v="93600"/>
        <n v="28600"/>
        <n v="117600"/>
        <n v="125400"/>
        <n v="13000"/>
        <n v="401500"/>
        <n v="182500"/>
        <n v="135000"/>
        <n v="40000"/>
        <n v="215600"/>
        <n v="6000"/>
        <n v="12650"/>
        <n v="36000"/>
        <n v="116600"/>
        <n v="50700"/>
        <n v="60500"/>
        <n v="80000"/>
        <n v="138000"/>
        <n v="52000"/>
        <n v="110000"/>
        <n v="91200"/>
        <n v="13200"/>
        <n v="11000"/>
        <n v="37050"/>
        <n v="99000"/>
        <n v="190000"/>
        <n v="120000"/>
        <n v="158400"/>
        <n v="26400"/>
        <n v="35750"/>
        <n v="14400"/>
        <n v="53950"/>
        <n v="33000"/>
        <n v="122500"/>
        <n v="19500"/>
        <n v="16000"/>
        <n v="182600"/>
        <n v="96000"/>
        <n v="33550"/>
        <n v="37200"/>
        <n v="57200"/>
        <n v="60450"/>
        <n v="385000"/>
        <n v="17500"/>
        <n v="130500"/>
        <n v="102000"/>
        <n v="220000"/>
        <n v="108000"/>
        <n v="52800"/>
        <n v="105600"/>
        <n v="202400"/>
        <n v="9100"/>
        <n v="297000"/>
        <n v="48000"/>
        <n v="37400"/>
        <n v="38400"/>
        <n v="36300"/>
        <n v="103400"/>
        <n v="37700"/>
        <n v="55000"/>
        <n v="105000"/>
        <n v="61500"/>
        <n v="56000"/>
        <n v="44000"/>
        <n v="100800"/>
        <n v="16500"/>
        <n v="32500"/>
        <n v="82500"/>
        <n v="22500"/>
        <n v="145500"/>
        <n v="130000"/>
        <n v="173800"/>
        <n v="22800"/>
        <n v="41250"/>
        <n v="85200"/>
        <n v="114400"/>
        <n v="166000"/>
        <n v="70400"/>
        <n v="9600"/>
        <n v="6600"/>
        <n v="43200"/>
        <n v="165000"/>
        <n v="8450"/>
        <n v="71500"/>
        <n v="31500"/>
        <n v="150000"/>
        <n v="92400"/>
        <n v="30000"/>
        <n v="4400"/>
        <n v="57600"/>
        <n v="154000"/>
        <n v="58500"/>
        <n v="97500"/>
        <n v="40500"/>
        <n v="86000"/>
        <n v="96800"/>
        <n v="74400"/>
        <n v="39600"/>
        <n v="62400"/>
        <n v="5200"/>
        <n v="5500"/>
        <n v="212500"/>
        <n v="106500"/>
        <n v="164000"/>
        <n v="47850"/>
        <n v="29900"/>
        <n v="308000"/>
        <n v="142500"/>
        <n v="140000"/>
        <n v="61600"/>
        <n v="98400"/>
        <n v="18700"/>
        <n v="70800"/>
        <n v="35200"/>
        <n v="253000"/>
        <n v="125000"/>
        <n v="118500"/>
        <n v="188000"/>
        <n v="10800"/>
        <n v="45100"/>
        <n v="16800"/>
        <n v="13650"/>
        <n v="159500"/>
        <n v="25000"/>
        <n v="18000"/>
        <n v="68200"/>
        <n v="58800"/>
        <n v="20900"/>
        <n v="81400"/>
        <n v="38350"/>
        <n v="77000"/>
        <n v="88500"/>
        <n v="213400"/>
        <n v="52250"/>
        <n v="61200"/>
        <n v="101200"/>
        <n v="20800"/>
        <n v="230000"/>
        <n v="63000"/>
        <n v="76000"/>
        <n v="11550"/>
        <n v="45600"/>
        <n v="193600"/>
        <n v="9750"/>
        <n v="286000"/>
        <n v="67500"/>
        <n v="76500"/>
        <n v="90000"/>
        <n v="48400"/>
        <n v="118800"/>
        <n v="217800"/>
        <n v="46800"/>
        <n v="407000"/>
        <n v="52500"/>
        <n v="66000"/>
        <n v="68000"/>
        <n v="178200"/>
        <n v="19800"/>
        <n v="7200"/>
        <n v="149600"/>
        <n v="412500"/>
        <n v="205000"/>
        <n v="160600"/>
        <n v="72000"/>
        <n v="550"/>
        <n v="82800"/>
        <n v="7800"/>
        <n v="27500"/>
        <n v="87500"/>
        <n v="81000"/>
        <n v="82000"/>
        <n v="132000"/>
        <n v="47300"/>
        <n v="84000"/>
        <n v="8800"/>
        <n v="23400"/>
        <n v="489500"/>
        <n v="117500"/>
        <n v="112500"/>
        <n v="195800"/>
        <n v="33600"/>
        <n v="51600"/>
        <n v="40950"/>
        <n v="423500"/>
        <n v="115000"/>
        <n v="170000"/>
        <n v="111600"/>
        <n v="12000"/>
        <n v="198000"/>
        <n v="15600"/>
        <n v="185000"/>
        <n v="129000"/>
        <n v="8400"/>
        <n v="37950"/>
        <n v="67200"/>
        <n v="129800"/>
        <n v="26000"/>
        <n v="352000"/>
        <n v="24000"/>
        <n v="94800"/>
        <n v="51150"/>
        <n v="5850"/>
        <n v="209000"/>
        <n v="60000"/>
        <n v="90200"/>
        <n v="34650"/>
        <n v="52650"/>
        <n v="247500"/>
        <n v="50000"/>
        <n v="192000"/>
        <n v="39050"/>
        <n v="44200"/>
        <n v="100000"/>
        <n v="184800"/>
        <n v="6050"/>
        <n v="506000"/>
        <n v="28500"/>
        <n v="194000"/>
        <n v="53350"/>
        <n v="75600"/>
        <n v="187000"/>
        <n v="167500"/>
        <n v="126000"/>
        <n v="142000"/>
        <n v="110400"/>
        <n v="10400"/>
        <n v="264000"/>
        <n v="92000"/>
        <n v="24200"/>
        <n v="180400"/>
        <n v="85000"/>
        <n v="79500"/>
        <n v="23650"/>
        <n v="79200"/>
        <n v="3250"/>
        <n v="111000"/>
        <n v="128000"/>
        <n v="42350"/>
        <n v="189200"/>
        <n v="175000"/>
        <n v="88800"/>
        <n v="15400"/>
        <n v="269500"/>
        <n v="45650"/>
        <n v="74800"/>
        <n v="40300"/>
      </sharedItems>
    </cacheField>
    <cacheField name="TOTAL PROFIT" numFmtId="0">
      <sharedItems containsSemiMixedTypes="0" containsString="0" containsNumber="1" containsInteger="1" minValue="350" maxValue="300000"/>
    </cacheField>
    <cacheField name="Months"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483049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x v="0"/>
    <n v="100"/>
    <x v="0"/>
    <x v="0"/>
    <n v="2500"/>
    <n v="250000"/>
    <n v="5500"/>
    <x v="0"/>
    <n v="300000"/>
  </r>
  <r>
    <x v="1"/>
    <x v="1"/>
    <n v="78"/>
    <x v="1"/>
    <x v="1"/>
    <n v="1200"/>
    <n v="93600"/>
    <n v="2500"/>
    <x v="1"/>
    <n v="101400"/>
  </r>
  <r>
    <x v="2"/>
    <x v="2"/>
    <n v="58"/>
    <x v="2"/>
    <x v="2"/>
    <n v="800"/>
    <n v="46400"/>
    <n v="1500"/>
    <x v="2"/>
    <n v="40600"/>
  </r>
  <r>
    <x v="3"/>
    <x v="3"/>
    <n v="68"/>
    <x v="3"/>
    <x v="3"/>
    <n v="1000"/>
    <n v="68000"/>
    <n v="2000"/>
    <x v="3"/>
    <n v="68000"/>
  </r>
  <r>
    <x v="4"/>
    <x v="4"/>
    <n v="27"/>
    <x v="4"/>
    <x v="4"/>
    <n v="1000"/>
    <n v="27000"/>
    <n v="2200"/>
    <x v="4"/>
    <n v="32400"/>
  </r>
  <r>
    <x v="5"/>
    <x v="5"/>
    <n v="78"/>
    <x v="5"/>
    <x v="5"/>
    <n v="600"/>
    <n v="46800"/>
    <n v="1200"/>
    <x v="5"/>
    <n v="46800"/>
  </r>
  <r>
    <x v="6"/>
    <x v="6"/>
    <n v="52"/>
    <x v="6"/>
    <x v="6"/>
    <n v="200"/>
    <n v="10400"/>
    <n v="550"/>
    <x v="6"/>
    <n v="18200"/>
  </r>
  <r>
    <x v="7"/>
    <x v="7"/>
    <n v="98"/>
    <x v="7"/>
    <x v="7"/>
    <n v="550"/>
    <n v="53900"/>
    <n v="1200"/>
    <x v="7"/>
    <n v="63700"/>
  </r>
  <r>
    <x v="8"/>
    <x v="8"/>
    <n v="57"/>
    <x v="8"/>
    <x v="8"/>
    <n v="1000"/>
    <n v="57000"/>
    <n v="2200"/>
    <x v="8"/>
    <n v="68400"/>
  </r>
  <r>
    <x v="9"/>
    <x v="9"/>
    <n v="20"/>
    <x v="9"/>
    <x v="9"/>
    <n v="550"/>
    <n v="11000"/>
    <n v="650"/>
    <x v="9"/>
    <n v="2000"/>
  </r>
  <r>
    <x v="10"/>
    <x v="0"/>
    <n v="73"/>
    <x v="0"/>
    <x v="0"/>
    <n v="2500"/>
    <n v="182500"/>
    <n v="5500"/>
    <x v="10"/>
    <n v="219000"/>
  </r>
  <r>
    <x v="11"/>
    <x v="1"/>
    <n v="73"/>
    <x v="1"/>
    <x v="1"/>
    <n v="1200"/>
    <n v="87600"/>
    <n v="2500"/>
    <x v="11"/>
    <n v="94900"/>
  </r>
  <r>
    <x v="12"/>
    <x v="2"/>
    <n v="90"/>
    <x v="2"/>
    <x v="2"/>
    <n v="800"/>
    <n v="72000"/>
    <n v="1500"/>
    <x v="12"/>
    <n v="63000"/>
  </r>
  <r>
    <x v="13"/>
    <x v="3"/>
    <n v="20"/>
    <x v="3"/>
    <x v="3"/>
    <n v="1000"/>
    <n v="20000"/>
    <n v="2000"/>
    <x v="13"/>
    <n v="20000"/>
  </r>
  <r>
    <x v="14"/>
    <x v="4"/>
    <n v="98"/>
    <x v="4"/>
    <x v="4"/>
    <n v="1000"/>
    <n v="98000"/>
    <n v="2200"/>
    <x v="14"/>
    <n v="117600"/>
  </r>
  <r>
    <x v="15"/>
    <x v="5"/>
    <n v="5"/>
    <x v="5"/>
    <x v="5"/>
    <n v="600"/>
    <n v="3000"/>
    <n v="1200"/>
    <x v="15"/>
    <n v="3000"/>
  </r>
  <r>
    <x v="16"/>
    <x v="6"/>
    <n v="23"/>
    <x v="6"/>
    <x v="6"/>
    <n v="200"/>
    <n v="4600"/>
    <n v="550"/>
    <x v="16"/>
    <n v="8050"/>
  </r>
  <r>
    <x v="17"/>
    <x v="7"/>
    <n v="30"/>
    <x v="7"/>
    <x v="7"/>
    <n v="550"/>
    <n v="16500"/>
    <n v="1200"/>
    <x v="17"/>
    <n v="19500"/>
  </r>
  <r>
    <x v="18"/>
    <x v="8"/>
    <n v="53"/>
    <x v="8"/>
    <x v="8"/>
    <n v="1000"/>
    <n v="53000"/>
    <n v="2200"/>
    <x v="18"/>
    <n v="63600"/>
  </r>
  <r>
    <x v="19"/>
    <x v="9"/>
    <n v="78"/>
    <x v="9"/>
    <x v="9"/>
    <n v="550"/>
    <n v="42900"/>
    <n v="650"/>
    <x v="19"/>
    <n v="7800"/>
  </r>
  <r>
    <x v="20"/>
    <x v="0"/>
    <n v="11"/>
    <x v="0"/>
    <x v="0"/>
    <n v="2500"/>
    <n v="27500"/>
    <n v="5500"/>
    <x v="20"/>
    <n v="33000"/>
  </r>
  <r>
    <x v="21"/>
    <x v="1"/>
    <n v="32"/>
    <x v="1"/>
    <x v="1"/>
    <n v="1200"/>
    <n v="38400"/>
    <n v="2500"/>
    <x v="21"/>
    <n v="41600"/>
  </r>
  <r>
    <x v="22"/>
    <x v="2"/>
    <n v="92"/>
    <x v="2"/>
    <x v="2"/>
    <n v="800"/>
    <n v="73600"/>
    <n v="1500"/>
    <x v="22"/>
    <n v="64400"/>
  </r>
  <r>
    <x v="23"/>
    <x v="3"/>
    <n v="26"/>
    <x v="3"/>
    <x v="3"/>
    <n v="1000"/>
    <n v="26000"/>
    <n v="2000"/>
    <x v="23"/>
    <n v="26000"/>
  </r>
  <r>
    <x v="24"/>
    <x v="4"/>
    <n v="50"/>
    <x v="4"/>
    <x v="4"/>
    <n v="1000"/>
    <n v="50000"/>
    <n v="2200"/>
    <x v="24"/>
    <n v="60000"/>
  </r>
  <r>
    <x v="25"/>
    <x v="5"/>
    <n v="76"/>
    <x v="5"/>
    <x v="5"/>
    <n v="600"/>
    <n v="45600"/>
    <n v="1200"/>
    <x v="25"/>
    <n v="45600"/>
  </r>
  <r>
    <x v="26"/>
    <x v="6"/>
    <n v="24"/>
    <x v="6"/>
    <x v="6"/>
    <n v="200"/>
    <n v="4800"/>
    <n v="550"/>
    <x v="26"/>
    <n v="8400"/>
  </r>
  <r>
    <x v="27"/>
    <x v="7"/>
    <n v="98"/>
    <x v="7"/>
    <x v="7"/>
    <n v="550"/>
    <n v="53900"/>
    <n v="1200"/>
    <x v="7"/>
    <n v="63700"/>
  </r>
  <r>
    <x v="28"/>
    <x v="8"/>
    <n v="5"/>
    <x v="8"/>
    <x v="8"/>
    <n v="1000"/>
    <n v="5000"/>
    <n v="2200"/>
    <x v="27"/>
    <n v="6000"/>
  </r>
  <r>
    <x v="29"/>
    <x v="9"/>
    <n v="57"/>
    <x v="9"/>
    <x v="9"/>
    <n v="550"/>
    <n v="31350"/>
    <n v="650"/>
    <x v="28"/>
    <n v="5700"/>
  </r>
  <r>
    <x v="30"/>
    <x v="0"/>
    <n v="18"/>
    <x v="0"/>
    <x v="0"/>
    <n v="2500"/>
    <n v="45000"/>
    <n v="5500"/>
    <x v="29"/>
    <n v="54000"/>
  </r>
  <r>
    <x v="31"/>
    <x v="1"/>
    <n v="76"/>
    <x v="1"/>
    <x v="1"/>
    <n v="1200"/>
    <n v="91200"/>
    <n v="2500"/>
    <x v="30"/>
    <n v="98800"/>
  </r>
  <r>
    <x v="32"/>
    <x v="2"/>
    <n v="80"/>
    <x v="2"/>
    <x v="2"/>
    <n v="800"/>
    <n v="64000"/>
    <n v="1500"/>
    <x v="31"/>
    <n v="56000"/>
  </r>
  <r>
    <x v="33"/>
    <x v="3"/>
    <n v="69"/>
    <x v="3"/>
    <x v="3"/>
    <n v="1000"/>
    <n v="69000"/>
    <n v="2000"/>
    <x v="22"/>
    <n v="69000"/>
  </r>
  <r>
    <x v="34"/>
    <x v="4"/>
    <n v="72"/>
    <x v="4"/>
    <x v="4"/>
    <n v="1000"/>
    <n v="72000"/>
    <n v="2200"/>
    <x v="32"/>
    <n v="86400"/>
  </r>
  <r>
    <x v="35"/>
    <x v="5"/>
    <n v="22"/>
    <x v="5"/>
    <x v="5"/>
    <n v="600"/>
    <n v="13200"/>
    <n v="1200"/>
    <x v="33"/>
    <n v="13200"/>
  </r>
  <r>
    <x v="36"/>
    <x v="6"/>
    <n v="65"/>
    <x v="6"/>
    <x v="6"/>
    <n v="200"/>
    <n v="13000"/>
    <n v="550"/>
    <x v="34"/>
    <n v="22750"/>
  </r>
  <r>
    <x v="37"/>
    <x v="7"/>
    <n v="12"/>
    <x v="7"/>
    <x v="7"/>
    <n v="550"/>
    <n v="6600"/>
    <n v="1200"/>
    <x v="35"/>
    <n v="7800"/>
  </r>
  <r>
    <x v="38"/>
    <x v="8"/>
    <n v="45"/>
    <x v="8"/>
    <x v="8"/>
    <n v="1000"/>
    <n v="45000"/>
    <n v="2200"/>
    <x v="29"/>
    <n v="54000"/>
  </r>
  <r>
    <x v="39"/>
    <x v="9"/>
    <n v="83"/>
    <x v="9"/>
    <x v="9"/>
    <n v="550"/>
    <n v="45650"/>
    <n v="650"/>
    <x v="36"/>
    <n v="8300"/>
  </r>
  <r>
    <x v="40"/>
    <x v="0"/>
    <n v="6"/>
    <x v="0"/>
    <x v="0"/>
    <n v="2500"/>
    <n v="15000"/>
    <n v="5500"/>
    <x v="37"/>
    <n v="18000"/>
  </r>
  <r>
    <x v="41"/>
    <x v="1"/>
    <n v="49"/>
    <x v="1"/>
    <x v="1"/>
    <n v="1200"/>
    <n v="58800"/>
    <n v="2500"/>
    <x v="38"/>
    <n v="63700"/>
  </r>
  <r>
    <x v="42"/>
    <x v="2"/>
    <n v="13"/>
    <x v="2"/>
    <x v="2"/>
    <n v="800"/>
    <n v="10400"/>
    <n v="1500"/>
    <x v="39"/>
    <n v="9100"/>
  </r>
  <r>
    <x v="43"/>
    <x v="3"/>
    <n v="8"/>
    <x v="3"/>
    <x v="3"/>
    <n v="1000"/>
    <n v="8000"/>
    <n v="2000"/>
    <x v="40"/>
    <n v="8000"/>
  </r>
  <r>
    <x v="44"/>
    <x v="4"/>
    <n v="83"/>
    <x v="4"/>
    <x v="4"/>
    <n v="1000"/>
    <n v="83000"/>
    <n v="2200"/>
    <x v="41"/>
    <n v="99600"/>
  </r>
  <r>
    <x v="45"/>
    <x v="5"/>
    <n v="80"/>
    <x v="5"/>
    <x v="5"/>
    <n v="600"/>
    <n v="48000"/>
    <n v="1200"/>
    <x v="42"/>
    <n v="48000"/>
  </r>
  <r>
    <x v="46"/>
    <x v="6"/>
    <n v="61"/>
    <x v="6"/>
    <x v="6"/>
    <n v="200"/>
    <n v="12200"/>
    <n v="550"/>
    <x v="43"/>
    <n v="21350"/>
  </r>
  <r>
    <x v="47"/>
    <x v="7"/>
    <n v="31"/>
    <x v="7"/>
    <x v="7"/>
    <n v="550"/>
    <n v="17050"/>
    <n v="1200"/>
    <x v="44"/>
    <n v="20150"/>
  </r>
  <r>
    <x v="48"/>
    <x v="8"/>
    <n v="26"/>
    <x v="8"/>
    <x v="8"/>
    <n v="1000"/>
    <n v="26000"/>
    <n v="2200"/>
    <x v="45"/>
    <n v="31200"/>
  </r>
  <r>
    <x v="49"/>
    <x v="9"/>
    <n v="93"/>
    <x v="9"/>
    <x v="9"/>
    <n v="550"/>
    <n v="51150"/>
    <n v="650"/>
    <x v="46"/>
    <n v="9300"/>
  </r>
  <r>
    <x v="50"/>
    <x v="0"/>
    <n v="70"/>
    <x v="0"/>
    <x v="0"/>
    <n v="2500"/>
    <n v="175000"/>
    <n v="5500"/>
    <x v="47"/>
    <n v="210000"/>
  </r>
  <r>
    <x v="51"/>
    <x v="1"/>
    <n v="7"/>
    <x v="1"/>
    <x v="1"/>
    <n v="1200"/>
    <n v="8400"/>
    <n v="2500"/>
    <x v="48"/>
    <n v="9100"/>
  </r>
  <r>
    <x v="52"/>
    <x v="2"/>
    <n v="87"/>
    <x v="2"/>
    <x v="2"/>
    <n v="800"/>
    <n v="69600"/>
    <n v="1500"/>
    <x v="49"/>
    <n v="60900"/>
  </r>
  <r>
    <x v="53"/>
    <x v="3"/>
    <n v="51"/>
    <x v="3"/>
    <x v="3"/>
    <n v="1000"/>
    <n v="51000"/>
    <n v="2000"/>
    <x v="50"/>
    <n v="51000"/>
  </r>
  <r>
    <x v="54"/>
    <x v="4"/>
    <n v="100"/>
    <x v="4"/>
    <x v="4"/>
    <n v="1000"/>
    <n v="100000"/>
    <n v="2200"/>
    <x v="51"/>
    <n v="120000"/>
  </r>
  <r>
    <x v="55"/>
    <x v="5"/>
    <n v="90"/>
    <x v="5"/>
    <x v="5"/>
    <n v="600"/>
    <n v="54000"/>
    <n v="1200"/>
    <x v="52"/>
    <n v="54000"/>
  </r>
  <r>
    <x v="56"/>
    <x v="6"/>
    <n v="96"/>
    <x v="6"/>
    <x v="6"/>
    <n v="200"/>
    <n v="19200"/>
    <n v="550"/>
    <x v="53"/>
    <n v="33600"/>
  </r>
  <r>
    <x v="57"/>
    <x v="7"/>
    <n v="88"/>
    <x v="7"/>
    <x v="7"/>
    <n v="550"/>
    <n v="48400"/>
    <n v="1200"/>
    <x v="54"/>
    <n v="57200"/>
  </r>
  <r>
    <x v="58"/>
    <x v="8"/>
    <n v="92"/>
    <x v="8"/>
    <x v="8"/>
    <n v="1000"/>
    <n v="92000"/>
    <n v="2200"/>
    <x v="55"/>
    <n v="110400"/>
  </r>
  <r>
    <x v="59"/>
    <x v="9"/>
    <n v="14"/>
    <x v="9"/>
    <x v="9"/>
    <n v="550"/>
    <n v="7700"/>
    <n v="650"/>
    <x v="56"/>
    <n v="1400"/>
  </r>
  <r>
    <x v="60"/>
    <x v="0"/>
    <n v="54"/>
    <x v="0"/>
    <x v="0"/>
    <n v="2500"/>
    <n v="135000"/>
    <n v="5500"/>
    <x v="57"/>
    <n v="162000"/>
  </r>
  <r>
    <x v="61"/>
    <x v="1"/>
    <n v="48"/>
    <x v="1"/>
    <x v="1"/>
    <n v="1200"/>
    <n v="57600"/>
    <n v="2500"/>
    <x v="31"/>
    <n v="62400"/>
  </r>
  <r>
    <x v="62"/>
    <x v="2"/>
    <n v="32"/>
    <x v="2"/>
    <x v="2"/>
    <n v="800"/>
    <n v="25600"/>
    <n v="1500"/>
    <x v="58"/>
    <n v="22400"/>
  </r>
  <r>
    <x v="63"/>
    <x v="3"/>
    <n v="24"/>
    <x v="3"/>
    <x v="3"/>
    <n v="1000"/>
    <n v="24000"/>
    <n v="2000"/>
    <x v="58"/>
    <n v="24000"/>
  </r>
  <r>
    <x v="64"/>
    <x v="4"/>
    <n v="17"/>
    <x v="4"/>
    <x v="4"/>
    <n v="1000"/>
    <n v="17000"/>
    <n v="2200"/>
    <x v="59"/>
    <n v="20400"/>
  </r>
  <r>
    <x v="65"/>
    <x v="5"/>
    <n v="32"/>
    <x v="5"/>
    <x v="5"/>
    <n v="600"/>
    <n v="19200"/>
    <n v="1200"/>
    <x v="60"/>
    <n v="19200"/>
  </r>
  <r>
    <x v="66"/>
    <x v="6"/>
    <n v="66"/>
    <x v="6"/>
    <x v="6"/>
    <n v="200"/>
    <n v="13200"/>
    <n v="550"/>
    <x v="61"/>
    <n v="23100"/>
  </r>
  <r>
    <x v="67"/>
    <x v="7"/>
    <n v="100"/>
    <x v="7"/>
    <x v="7"/>
    <n v="550"/>
    <n v="55000"/>
    <n v="1200"/>
    <x v="31"/>
    <n v="65000"/>
  </r>
  <r>
    <x v="68"/>
    <x v="8"/>
    <n v="47"/>
    <x v="8"/>
    <x v="8"/>
    <n v="1000"/>
    <n v="47000"/>
    <n v="2200"/>
    <x v="62"/>
    <n v="56400"/>
  </r>
  <r>
    <x v="69"/>
    <x v="9"/>
    <n v="58"/>
    <x v="9"/>
    <x v="9"/>
    <n v="550"/>
    <n v="31900"/>
    <n v="650"/>
    <x v="63"/>
    <n v="5800"/>
  </r>
  <r>
    <x v="70"/>
    <x v="0"/>
    <n v="10"/>
    <x v="0"/>
    <x v="0"/>
    <n v="2500"/>
    <n v="25000"/>
    <n v="5500"/>
    <x v="64"/>
    <n v="30000"/>
  </r>
  <r>
    <x v="71"/>
    <x v="1"/>
    <n v="42"/>
    <x v="1"/>
    <x v="1"/>
    <n v="1200"/>
    <n v="50400"/>
    <n v="2500"/>
    <x v="65"/>
    <n v="54600"/>
  </r>
  <r>
    <x v="72"/>
    <x v="2"/>
    <n v="41"/>
    <x v="2"/>
    <x v="2"/>
    <n v="800"/>
    <n v="32800"/>
    <n v="1500"/>
    <x v="66"/>
    <n v="28700"/>
  </r>
  <r>
    <x v="73"/>
    <x v="3"/>
    <n v="28"/>
    <x v="3"/>
    <x v="3"/>
    <n v="1000"/>
    <n v="28000"/>
    <n v="2000"/>
    <x v="67"/>
    <n v="28000"/>
  </r>
  <r>
    <x v="74"/>
    <x v="4"/>
    <n v="20"/>
    <x v="4"/>
    <x v="4"/>
    <n v="1000"/>
    <n v="20000"/>
    <n v="2200"/>
    <x v="68"/>
    <n v="24000"/>
  </r>
  <r>
    <x v="75"/>
    <x v="5"/>
    <n v="84"/>
    <x v="5"/>
    <x v="5"/>
    <n v="600"/>
    <n v="50400"/>
    <n v="1200"/>
    <x v="69"/>
    <n v="50400"/>
  </r>
  <r>
    <x v="76"/>
    <x v="6"/>
    <n v="30"/>
    <x v="6"/>
    <x v="6"/>
    <n v="200"/>
    <n v="6000"/>
    <n v="550"/>
    <x v="70"/>
    <n v="10500"/>
  </r>
  <r>
    <x v="77"/>
    <x v="7"/>
    <n v="76"/>
    <x v="7"/>
    <x v="7"/>
    <n v="550"/>
    <n v="41800"/>
    <n v="1200"/>
    <x v="25"/>
    <n v="49400"/>
  </r>
  <r>
    <x v="78"/>
    <x v="8"/>
    <n v="26"/>
    <x v="8"/>
    <x v="8"/>
    <n v="1000"/>
    <n v="26000"/>
    <n v="2200"/>
    <x v="45"/>
    <n v="31200"/>
  </r>
  <r>
    <x v="79"/>
    <x v="9"/>
    <n v="50"/>
    <x v="9"/>
    <x v="9"/>
    <n v="550"/>
    <n v="27500"/>
    <n v="650"/>
    <x v="71"/>
    <n v="5000"/>
  </r>
  <r>
    <x v="80"/>
    <x v="0"/>
    <n v="15"/>
    <x v="0"/>
    <x v="0"/>
    <n v="2500"/>
    <n v="37500"/>
    <n v="5500"/>
    <x v="72"/>
    <n v="45000"/>
  </r>
  <r>
    <x v="81"/>
    <x v="1"/>
    <n v="9"/>
    <x v="1"/>
    <x v="1"/>
    <n v="1200"/>
    <n v="10800"/>
    <n v="2500"/>
    <x v="73"/>
    <n v="11700"/>
  </r>
  <r>
    <x v="82"/>
    <x v="2"/>
    <n v="97"/>
    <x v="2"/>
    <x v="2"/>
    <n v="800"/>
    <n v="77600"/>
    <n v="1500"/>
    <x v="74"/>
    <n v="67900"/>
  </r>
  <r>
    <x v="83"/>
    <x v="3"/>
    <n v="65"/>
    <x v="3"/>
    <x v="3"/>
    <n v="1000"/>
    <n v="65000"/>
    <n v="2000"/>
    <x v="75"/>
    <n v="65000"/>
  </r>
  <r>
    <x v="84"/>
    <x v="4"/>
    <n v="79"/>
    <x v="4"/>
    <x v="4"/>
    <n v="1000"/>
    <n v="79000"/>
    <n v="2200"/>
    <x v="76"/>
    <n v="94800"/>
  </r>
  <r>
    <x v="85"/>
    <x v="5"/>
    <n v="19"/>
    <x v="5"/>
    <x v="5"/>
    <n v="600"/>
    <n v="11400"/>
    <n v="1200"/>
    <x v="77"/>
    <n v="11400"/>
  </r>
  <r>
    <x v="86"/>
    <x v="6"/>
    <n v="75"/>
    <x v="6"/>
    <x v="6"/>
    <n v="200"/>
    <n v="15000"/>
    <n v="550"/>
    <x v="78"/>
    <n v="26250"/>
  </r>
  <r>
    <x v="87"/>
    <x v="7"/>
    <n v="71"/>
    <x v="7"/>
    <x v="7"/>
    <n v="550"/>
    <n v="39050"/>
    <n v="1200"/>
    <x v="79"/>
    <n v="46150"/>
  </r>
  <r>
    <x v="88"/>
    <x v="8"/>
    <n v="52"/>
    <x v="8"/>
    <x v="8"/>
    <n v="1000"/>
    <n v="52000"/>
    <n v="2200"/>
    <x v="80"/>
    <n v="62400"/>
  </r>
  <r>
    <x v="89"/>
    <x v="9"/>
    <n v="83"/>
    <x v="9"/>
    <x v="9"/>
    <n v="550"/>
    <n v="45650"/>
    <n v="650"/>
    <x v="36"/>
    <n v="8300"/>
  </r>
  <r>
    <x v="90"/>
    <x v="0"/>
    <n v="8"/>
    <x v="0"/>
    <x v="0"/>
    <n v="2500"/>
    <n v="20000"/>
    <n v="5500"/>
    <x v="68"/>
    <n v="24000"/>
  </r>
  <r>
    <x v="91"/>
    <x v="1"/>
    <n v="78"/>
    <x v="1"/>
    <x v="1"/>
    <n v="1200"/>
    <n v="93600"/>
    <n v="2500"/>
    <x v="1"/>
    <n v="101400"/>
  </r>
  <r>
    <x v="92"/>
    <x v="2"/>
    <n v="32"/>
    <x v="2"/>
    <x v="2"/>
    <n v="800"/>
    <n v="25600"/>
    <n v="1500"/>
    <x v="58"/>
    <n v="22400"/>
  </r>
  <r>
    <x v="93"/>
    <x v="3"/>
    <n v="83"/>
    <x v="3"/>
    <x v="3"/>
    <n v="1000"/>
    <n v="83000"/>
    <n v="2000"/>
    <x v="81"/>
    <n v="83000"/>
  </r>
  <r>
    <x v="94"/>
    <x v="4"/>
    <n v="32"/>
    <x v="4"/>
    <x v="4"/>
    <n v="1000"/>
    <n v="32000"/>
    <n v="2200"/>
    <x v="82"/>
    <n v="38400"/>
  </r>
  <r>
    <x v="95"/>
    <x v="5"/>
    <n v="8"/>
    <x v="5"/>
    <x v="5"/>
    <n v="600"/>
    <n v="4800"/>
    <n v="1200"/>
    <x v="83"/>
    <n v="4800"/>
  </r>
  <r>
    <x v="96"/>
    <x v="6"/>
    <n v="12"/>
    <x v="6"/>
    <x v="6"/>
    <n v="200"/>
    <n v="2400"/>
    <n v="550"/>
    <x v="84"/>
    <n v="4200"/>
  </r>
  <r>
    <x v="97"/>
    <x v="7"/>
    <n v="36"/>
    <x v="7"/>
    <x v="7"/>
    <n v="550"/>
    <n v="19800"/>
    <n v="1200"/>
    <x v="85"/>
    <n v="23400"/>
  </r>
  <r>
    <x v="98"/>
    <x v="8"/>
    <n v="75"/>
    <x v="8"/>
    <x v="8"/>
    <n v="1000"/>
    <n v="75000"/>
    <n v="2200"/>
    <x v="86"/>
    <n v="90000"/>
  </r>
  <r>
    <x v="99"/>
    <x v="9"/>
    <n v="13"/>
    <x v="9"/>
    <x v="9"/>
    <n v="550"/>
    <n v="7150"/>
    <n v="650"/>
    <x v="87"/>
    <n v="1300"/>
  </r>
  <r>
    <x v="100"/>
    <x v="0"/>
    <n v="13"/>
    <x v="0"/>
    <x v="0"/>
    <n v="2500"/>
    <n v="32500"/>
    <n v="5500"/>
    <x v="88"/>
    <n v="39000"/>
  </r>
  <r>
    <x v="101"/>
    <x v="1"/>
    <n v="7"/>
    <x v="1"/>
    <x v="1"/>
    <n v="1200"/>
    <n v="8400"/>
    <n v="2500"/>
    <x v="48"/>
    <n v="9100"/>
  </r>
  <r>
    <x v="102"/>
    <x v="2"/>
    <n v="21"/>
    <x v="2"/>
    <x v="2"/>
    <n v="800"/>
    <n v="16800"/>
    <n v="1500"/>
    <x v="89"/>
    <n v="14700"/>
  </r>
  <r>
    <x v="103"/>
    <x v="3"/>
    <n v="75"/>
    <x v="3"/>
    <x v="3"/>
    <n v="1000"/>
    <n v="75000"/>
    <n v="2000"/>
    <x v="90"/>
    <n v="75000"/>
  </r>
  <r>
    <x v="104"/>
    <x v="4"/>
    <n v="42"/>
    <x v="4"/>
    <x v="4"/>
    <n v="1000"/>
    <n v="42000"/>
    <n v="2200"/>
    <x v="91"/>
    <n v="50400"/>
  </r>
  <r>
    <x v="105"/>
    <x v="5"/>
    <n v="25"/>
    <x v="5"/>
    <x v="5"/>
    <n v="600"/>
    <n v="15000"/>
    <n v="1200"/>
    <x v="92"/>
    <n v="15000"/>
  </r>
  <r>
    <x v="106"/>
    <x v="6"/>
    <n v="8"/>
    <x v="6"/>
    <x v="6"/>
    <n v="200"/>
    <n v="1600"/>
    <n v="550"/>
    <x v="93"/>
    <n v="2800"/>
  </r>
  <r>
    <x v="107"/>
    <x v="7"/>
    <n v="48"/>
    <x v="7"/>
    <x v="7"/>
    <n v="550"/>
    <n v="26400"/>
    <n v="1200"/>
    <x v="94"/>
    <n v="31200"/>
  </r>
  <r>
    <x v="108"/>
    <x v="8"/>
    <n v="70"/>
    <x v="8"/>
    <x v="8"/>
    <n v="1000"/>
    <n v="70000"/>
    <n v="2200"/>
    <x v="95"/>
    <n v="84000"/>
  </r>
  <r>
    <x v="109"/>
    <x v="9"/>
    <n v="90"/>
    <x v="9"/>
    <x v="9"/>
    <n v="550"/>
    <n v="49500"/>
    <n v="650"/>
    <x v="96"/>
    <n v="9000"/>
  </r>
  <r>
    <x v="110"/>
    <x v="0"/>
    <n v="73"/>
    <x v="0"/>
    <x v="0"/>
    <n v="2500"/>
    <n v="182500"/>
    <n v="5500"/>
    <x v="10"/>
    <n v="219000"/>
  </r>
  <r>
    <x v="111"/>
    <x v="1"/>
    <n v="39"/>
    <x v="1"/>
    <x v="1"/>
    <n v="1200"/>
    <n v="46800"/>
    <n v="2500"/>
    <x v="97"/>
    <n v="50700"/>
  </r>
  <r>
    <x v="112"/>
    <x v="2"/>
    <n v="27"/>
    <x v="2"/>
    <x v="2"/>
    <n v="800"/>
    <n v="21600"/>
    <n v="1500"/>
    <x v="98"/>
    <n v="18900"/>
  </r>
  <r>
    <x v="113"/>
    <x v="3"/>
    <n v="43"/>
    <x v="3"/>
    <x v="3"/>
    <n v="1000"/>
    <n v="43000"/>
    <n v="2000"/>
    <x v="99"/>
    <n v="43000"/>
  </r>
  <r>
    <x v="114"/>
    <x v="4"/>
    <n v="44"/>
    <x v="4"/>
    <x v="4"/>
    <n v="1000"/>
    <n v="44000"/>
    <n v="2200"/>
    <x v="100"/>
    <n v="52800"/>
  </r>
  <r>
    <x v="115"/>
    <x v="5"/>
    <n v="62"/>
    <x v="5"/>
    <x v="5"/>
    <n v="600"/>
    <n v="37200"/>
    <n v="1200"/>
    <x v="101"/>
    <n v="37200"/>
  </r>
  <r>
    <x v="116"/>
    <x v="6"/>
    <n v="72"/>
    <x v="6"/>
    <x v="6"/>
    <n v="200"/>
    <n v="14400"/>
    <n v="550"/>
    <x v="102"/>
    <n v="25200"/>
  </r>
  <r>
    <x v="117"/>
    <x v="7"/>
    <n v="52"/>
    <x v="7"/>
    <x v="7"/>
    <n v="550"/>
    <n v="28600"/>
    <n v="1200"/>
    <x v="103"/>
    <n v="33800"/>
  </r>
  <r>
    <x v="118"/>
    <x v="8"/>
    <n v="79"/>
    <x v="8"/>
    <x v="8"/>
    <n v="1000"/>
    <n v="79000"/>
    <n v="2200"/>
    <x v="76"/>
    <n v="94800"/>
  </r>
  <r>
    <x v="119"/>
    <x v="9"/>
    <n v="8"/>
    <x v="9"/>
    <x v="9"/>
    <n v="550"/>
    <n v="4400"/>
    <n v="650"/>
    <x v="104"/>
    <n v="800"/>
  </r>
  <r>
    <x v="120"/>
    <x v="0"/>
    <n v="1"/>
    <x v="0"/>
    <x v="0"/>
    <n v="2500"/>
    <n v="2500"/>
    <n v="5500"/>
    <x v="105"/>
    <n v="3000"/>
  </r>
  <r>
    <x v="121"/>
    <x v="1"/>
    <n v="85"/>
    <x v="1"/>
    <x v="1"/>
    <n v="1200"/>
    <n v="102000"/>
    <n v="2500"/>
    <x v="106"/>
    <n v="110500"/>
  </r>
  <r>
    <x v="122"/>
    <x v="2"/>
    <n v="71"/>
    <x v="2"/>
    <x v="2"/>
    <n v="800"/>
    <n v="56800"/>
    <n v="1500"/>
    <x v="107"/>
    <n v="49700"/>
  </r>
  <r>
    <x v="123"/>
    <x v="3"/>
    <n v="82"/>
    <x v="3"/>
    <x v="3"/>
    <n v="1000"/>
    <n v="82000"/>
    <n v="2000"/>
    <x v="108"/>
    <n v="82000"/>
  </r>
  <r>
    <x v="124"/>
    <x v="4"/>
    <n v="57"/>
    <x v="4"/>
    <x v="4"/>
    <n v="1000"/>
    <n v="57000"/>
    <n v="2200"/>
    <x v="8"/>
    <n v="68400"/>
  </r>
  <r>
    <x v="125"/>
    <x v="5"/>
    <n v="90"/>
    <x v="5"/>
    <x v="5"/>
    <n v="600"/>
    <n v="54000"/>
    <n v="1200"/>
    <x v="52"/>
    <n v="54000"/>
  </r>
  <r>
    <x v="126"/>
    <x v="6"/>
    <n v="87"/>
    <x v="6"/>
    <x v="6"/>
    <n v="200"/>
    <n v="17400"/>
    <n v="550"/>
    <x v="109"/>
    <n v="30450"/>
  </r>
  <r>
    <x v="127"/>
    <x v="7"/>
    <n v="48"/>
    <x v="7"/>
    <x v="7"/>
    <n v="550"/>
    <n v="26400"/>
    <n v="1200"/>
    <x v="94"/>
    <n v="31200"/>
  </r>
  <r>
    <x v="128"/>
    <x v="8"/>
    <n v="79"/>
    <x v="8"/>
    <x v="8"/>
    <n v="1000"/>
    <n v="79000"/>
    <n v="2200"/>
    <x v="76"/>
    <n v="94800"/>
  </r>
  <r>
    <x v="129"/>
    <x v="9"/>
    <n v="46"/>
    <x v="9"/>
    <x v="9"/>
    <n v="550"/>
    <n v="25300"/>
    <n v="650"/>
    <x v="110"/>
    <n v="4600"/>
  </r>
  <r>
    <x v="130"/>
    <x v="0"/>
    <n v="56"/>
    <x v="0"/>
    <x v="0"/>
    <n v="2500"/>
    <n v="140000"/>
    <n v="5500"/>
    <x v="111"/>
    <n v="168000"/>
  </r>
  <r>
    <x v="131"/>
    <x v="1"/>
    <n v="57"/>
    <x v="1"/>
    <x v="1"/>
    <n v="1200"/>
    <n v="68400"/>
    <n v="2500"/>
    <x v="112"/>
    <n v="74100"/>
  </r>
  <r>
    <x v="132"/>
    <x v="2"/>
    <n v="4"/>
    <x v="2"/>
    <x v="2"/>
    <n v="800"/>
    <n v="3200"/>
    <n v="1500"/>
    <x v="15"/>
    <n v="2800"/>
  </r>
  <r>
    <x v="133"/>
    <x v="3"/>
    <n v="70"/>
    <x v="3"/>
    <x v="3"/>
    <n v="1000"/>
    <n v="70000"/>
    <n v="2000"/>
    <x v="113"/>
    <n v="70000"/>
  </r>
  <r>
    <x v="134"/>
    <x v="4"/>
    <n v="28"/>
    <x v="4"/>
    <x v="4"/>
    <n v="1000"/>
    <n v="28000"/>
    <n v="2200"/>
    <x v="114"/>
    <n v="33600"/>
  </r>
  <r>
    <x v="135"/>
    <x v="5"/>
    <n v="82"/>
    <x v="5"/>
    <x v="5"/>
    <n v="600"/>
    <n v="49200"/>
    <n v="1200"/>
    <x v="115"/>
    <n v="49200"/>
  </r>
  <r>
    <x v="136"/>
    <x v="6"/>
    <n v="34"/>
    <x v="6"/>
    <x v="6"/>
    <n v="200"/>
    <n v="6800"/>
    <n v="550"/>
    <x v="116"/>
    <n v="11900"/>
  </r>
  <r>
    <x v="137"/>
    <x v="7"/>
    <n v="59"/>
    <x v="7"/>
    <x v="7"/>
    <n v="550"/>
    <n v="32450"/>
    <n v="1200"/>
    <x v="117"/>
    <n v="38350"/>
  </r>
  <r>
    <x v="138"/>
    <x v="8"/>
    <n v="16"/>
    <x v="8"/>
    <x v="8"/>
    <n v="1000"/>
    <n v="16000"/>
    <n v="2200"/>
    <x v="118"/>
    <n v="19200"/>
  </r>
  <r>
    <x v="139"/>
    <x v="9"/>
    <n v="13"/>
    <x v="9"/>
    <x v="9"/>
    <n v="550"/>
    <n v="7150"/>
    <n v="650"/>
    <x v="87"/>
    <n v="1300"/>
  </r>
  <r>
    <x v="140"/>
    <x v="0"/>
    <n v="46"/>
    <x v="0"/>
    <x v="0"/>
    <n v="2500"/>
    <n v="115000"/>
    <n v="5500"/>
    <x v="119"/>
    <n v="138000"/>
  </r>
  <r>
    <x v="141"/>
    <x v="1"/>
    <n v="50"/>
    <x v="1"/>
    <x v="1"/>
    <n v="1200"/>
    <n v="60000"/>
    <n v="2500"/>
    <x v="120"/>
    <n v="65000"/>
  </r>
  <r>
    <x v="142"/>
    <x v="2"/>
    <n v="79"/>
    <x v="2"/>
    <x v="2"/>
    <n v="800"/>
    <n v="63200"/>
    <n v="1500"/>
    <x v="121"/>
    <n v="55300"/>
  </r>
  <r>
    <x v="143"/>
    <x v="3"/>
    <n v="94"/>
    <x v="3"/>
    <x v="3"/>
    <n v="1000"/>
    <n v="94000"/>
    <n v="2000"/>
    <x v="122"/>
    <n v="94000"/>
  </r>
  <r>
    <x v="144"/>
    <x v="4"/>
    <n v="12"/>
    <x v="4"/>
    <x v="4"/>
    <n v="1000"/>
    <n v="12000"/>
    <n v="2200"/>
    <x v="33"/>
    <n v="14400"/>
  </r>
  <r>
    <x v="145"/>
    <x v="5"/>
    <n v="9"/>
    <x v="5"/>
    <x v="5"/>
    <n v="600"/>
    <n v="5400"/>
    <n v="1200"/>
    <x v="123"/>
    <n v="5400"/>
  </r>
  <r>
    <x v="146"/>
    <x v="6"/>
    <n v="82"/>
    <x v="6"/>
    <x v="6"/>
    <n v="200"/>
    <n v="16400"/>
    <n v="550"/>
    <x v="124"/>
    <n v="28700"/>
  </r>
  <r>
    <x v="147"/>
    <x v="7"/>
    <n v="14"/>
    <x v="7"/>
    <x v="7"/>
    <n v="550"/>
    <n v="7700"/>
    <n v="1200"/>
    <x v="125"/>
    <n v="9100"/>
  </r>
  <r>
    <x v="148"/>
    <x v="8"/>
    <n v="72"/>
    <x v="8"/>
    <x v="8"/>
    <n v="1000"/>
    <n v="72000"/>
    <n v="2200"/>
    <x v="32"/>
    <n v="86400"/>
  </r>
  <r>
    <x v="149"/>
    <x v="9"/>
    <n v="21"/>
    <x v="9"/>
    <x v="9"/>
    <n v="550"/>
    <n v="11550"/>
    <n v="650"/>
    <x v="126"/>
    <n v="2100"/>
  </r>
  <r>
    <x v="150"/>
    <x v="0"/>
    <n v="29"/>
    <x v="0"/>
    <x v="0"/>
    <n v="2500"/>
    <n v="72500"/>
    <n v="5500"/>
    <x v="127"/>
    <n v="87000"/>
  </r>
  <r>
    <x v="151"/>
    <x v="1"/>
    <n v="10"/>
    <x v="1"/>
    <x v="1"/>
    <n v="1200"/>
    <n v="12000"/>
    <n v="2500"/>
    <x v="128"/>
    <n v="13000"/>
  </r>
  <r>
    <x v="152"/>
    <x v="2"/>
    <n v="100"/>
    <x v="2"/>
    <x v="2"/>
    <n v="800"/>
    <n v="80000"/>
    <n v="1500"/>
    <x v="90"/>
    <n v="70000"/>
  </r>
  <r>
    <x v="153"/>
    <x v="3"/>
    <n v="9"/>
    <x v="3"/>
    <x v="3"/>
    <n v="1000"/>
    <n v="9000"/>
    <n v="2000"/>
    <x v="129"/>
    <n v="9000"/>
  </r>
  <r>
    <x v="154"/>
    <x v="4"/>
    <n v="31"/>
    <x v="4"/>
    <x v="4"/>
    <n v="1000"/>
    <n v="31000"/>
    <n v="2200"/>
    <x v="130"/>
    <n v="37200"/>
  </r>
  <r>
    <x v="155"/>
    <x v="5"/>
    <n v="49"/>
    <x v="5"/>
    <x v="5"/>
    <n v="600"/>
    <n v="29400"/>
    <n v="1200"/>
    <x v="131"/>
    <n v="29400"/>
  </r>
  <r>
    <x v="156"/>
    <x v="6"/>
    <n v="38"/>
    <x v="6"/>
    <x v="6"/>
    <n v="200"/>
    <n v="7600"/>
    <n v="550"/>
    <x v="132"/>
    <n v="13300"/>
  </r>
  <r>
    <x v="157"/>
    <x v="7"/>
    <n v="98"/>
    <x v="7"/>
    <x v="7"/>
    <n v="550"/>
    <n v="53900"/>
    <n v="1200"/>
    <x v="7"/>
    <n v="63700"/>
  </r>
  <r>
    <x v="158"/>
    <x v="8"/>
    <n v="37"/>
    <x v="8"/>
    <x v="8"/>
    <n v="1000"/>
    <n v="37000"/>
    <n v="2200"/>
    <x v="133"/>
    <n v="44400"/>
  </r>
  <r>
    <x v="159"/>
    <x v="9"/>
    <n v="59"/>
    <x v="9"/>
    <x v="9"/>
    <n v="550"/>
    <n v="32450"/>
    <n v="650"/>
    <x v="134"/>
    <n v="5900"/>
  </r>
  <r>
    <x v="160"/>
    <x v="0"/>
    <n v="14"/>
    <x v="0"/>
    <x v="0"/>
    <n v="2500"/>
    <n v="35000"/>
    <n v="5500"/>
    <x v="135"/>
    <n v="42000"/>
  </r>
  <r>
    <x v="161"/>
    <x v="1"/>
    <n v="7"/>
    <x v="1"/>
    <x v="1"/>
    <n v="1200"/>
    <n v="8400"/>
    <n v="2500"/>
    <x v="48"/>
    <n v="9100"/>
  </r>
  <r>
    <x v="162"/>
    <x v="2"/>
    <n v="59"/>
    <x v="2"/>
    <x v="2"/>
    <n v="800"/>
    <n v="47200"/>
    <n v="1500"/>
    <x v="136"/>
    <n v="41300"/>
  </r>
  <r>
    <x v="163"/>
    <x v="3"/>
    <n v="54"/>
    <x v="3"/>
    <x v="3"/>
    <n v="1000"/>
    <n v="54000"/>
    <n v="2000"/>
    <x v="52"/>
    <n v="54000"/>
  </r>
  <r>
    <x v="164"/>
    <x v="4"/>
    <n v="97"/>
    <x v="4"/>
    <x v="4"/>
    <n v="1000"/>
    <n v="97000"/>
    <n v="2200"/>
    <x v="137"/>
    <n v="116400"/>
  </r>
  <r>
    <x v="165"/>
    <x v="5"/>
    <n v="32"/>
    <x v="5"/>
    <x v="5"/>
    <n v="600"/>
    <n v="19200"/>
    <n v="1200"/>
    <x v="60"/>
    <n v="19200"/>
  </r>
  <r>
    <x v="166"/>
    <x v="6"/>
    <n v="95"/>
    <x v="6"/>
    <x v="6"/>
    <n v="200"/>
    <n v="19000"/>
    <n v="550"/>
    <x v="138"/>
    <n v="33250"/>
  </r>
  <r>
    <x v="167"/>
    <x v="7"/>
    <n v="51"/>
    <x v="7"/>
    <x v="7"/>
    <n v="550"/>
    <n v="28050"/>
    <n v="1200"/>
    <x v="139"/>
    <n v="33150"/>
  </r>
  <r>
    <x v="168"/>
    <x v="8"/>
    <n v="46"/>
    <x v="8"/>
    <x v="8"/>
    <n v="1000"/>
    <n v="46000"/>
    <n v="2200"/>
    <x v="140"/>
    <n v="55200"/>
  </r>
  <r>
    <x v="169"/>
    <x v="9"/>
    <n v="32"/>
    <x v="9"/>
    <x v="9"/>
    <n v="550"/>
    <n v="17600"/>
    <n v="650"/>
    <x v="141"/>
    <n v="3200"/>
  </r>
  <r>
    <x v="170"/>
    <x v="0"/>
    <n v="14"/>
    <x v="0"/>
    <x v="0"/>
    <n v="2500"/>
    <n v="35000"/>
    <n v="5500"/>
    <x v="135"/>
    <n v="42000"/>
  </r>
  <r>
    <x v="171"/>
    <x v="1"/>
    <n v="92"/>
    <x v="1"/>
    <x v="1"/>
    <n v="1200"/>
    <n v="110400"/>
    <n v="2500"/>
    <x v="142"/>
    <n v="119600"/>
  </r>
  <r>
    <x v="172"/>
    <x v="2"/>
    <n v="42"/>
    <x v="2"/>
    <x v="2"/>
    <n v="800"/>
    <n v="33600"/>
    <n v="1500"/>
    <x v="143"/>
    <n v="29400"/>
  </r>
  <r>
    <x v="173"/>
    <x v="3"/>
    <n v="38"/>
    <x v="3"/>
    <x v="3"/>
    <n v="1000"/>
    <n v="38000"/>
    <n v="2000"/>
    <x v="144"/>
    <n v="38000"/>
  </r>
  <r>
    <x v="174"/>
    <x v="4"/>
    <n v="72"/>
    <x v="4"/>
    <x v="4"/>
    <n v="1000"/>
    <n v="72000"/>
    <n v="2200"/>
    <x v="32"/>
    <n v="86400"/>
  </r>
  <r>
    <x v="175"/>
    <x v="5"/>
    <n v="33"/>
    <x v="5"/>
    <x v="5"/>
    <n v="600"/>
    <n v="19800"/>
    <n v="1200"/>
    <x v="102"/>
    <n v="19800"/>
  </r>
  <r>
    <x v="176"/>
    <x v="6"/>
    <n v="21"/>
    <x v="6"/>
    <x v="6"/>
    <n v="200"/>
    <n v="4200"/>
    <n v="550"/>
    <x v="145"/>
    <n v="7350"/>
  </r>
  <r>
    <x v="177"/>
    <x v="7"/>
    <n v="38"/>
    <x v="7"/>
    <x v="7"/>
    <n v="550"/>
    <n v="20900"/>
    <n v="1200"/>
    <x v="146"/>
    <n v="24700"/>
  </r>
  <r>
    <x v="178"/>
    <x v="8"/>
    <n v="88"/>
    <x v="8"/>
    <x v="8"/>
    <n v="1000"/>
    <n v="88000"/>
    <n v="2200"/>
    <x v="147"/>
    <n v="105600"/>
  </r>
  <r>
    <x v="179"/>
    <x v="9"/>
    <n v="15"/>
    <x v="9"/>
    <x v="9"/>
    <n v="550"/>
    <n v="8250"/>
    <n v="650"/>
    <x v="148"/>
    <n v="1500"/>
  </r>
  <r>
    <x v="180"/>
    <x v="0"/>
    <n v="52"/>
    <x v="0"/>
    <x v="0"/>
    <n v="2500"/>
    <n v="130000"/>
    <n v="5500"/>
    <x v="149"/>
    <n v="156000"/>
  </r>
  <r>
    <x v="181"/>
    <x v="1"/>
    <n v="27"/>
    <x v="1"/>
    <x v="1"/>
    <n v="1200"/>
    <n v="32400"/>
    <n v="2500"/>
    <x v="150"/>
    <n v="35100"/>
  </r>
  <r>
    <x v="182"/>
    <x v="2"/>
    <n v="51"/>
    <x v="2"/>
    <x v="2"/>
    <n v="800"/>
    <n v="40800"/>
    <n v="1500"/>
    <x v="151"/>
    <n v="35700"/>
  </r>
  <r>
    <x v="183"/>
    <x v="3"/>
    <n v="95"/>
    <x v="3"/>
    <x v="3"/>
    <n v="1000"/>
    <n v="95000"/>
    <n v="2000"/>
    <x v="30"/>
    <n v="95000"/>
  </r>
  <r>
    <x v="184"/>
    <x v="4"/>
    <n v="52"/>
    <x v="4"/>
    <x v="4"/>
    <n v="1000"/>
    <n v="52000"/>
    <n v="2200"/>
    <x v="80"/>
    <n v="62400"/>
  </r>
  <r>
    <x v="185"/>
    <x v="5"/>
    <n v="75"/>
    <x v="5"/>
    <x v="5"/>
    <n v="600"/>
    <n v="45000"/>
    <n v="1200"/>
    <x v="152"/>
    <n v="45000"/>
  </r>
  <r>
    <x v="186"/>
    <x v="6"/>
    <n v="88"/>
    <x v="6"/>
    <x v="6"/>
    <n v="200"/>
    <n v="17600"/>
    <n v="550"/>
    <x v="153"/>
    <n v="30800"/>
  </r>
  <r>
    <x v="187"/>
    <x v="7"/>
    <n v="99"/>
    <x v="7"/>
    <x v="7"/>
    <n v="550"/>
    <n v="54450"/>
    <n v="1200"/>
    <x v="154"/>
    <n v="64350"/>
  </r>
  <r>
    <x v="188"/>
    <x v="8"/>
    <n v="99"/>
    <x v="8"/>
    <x v="8"/>
    <n v="1000"/>
    <n v="99000"/>
    <n v="2200"/>
    <x v="155"/>
    <n v="118800"/>
  </r>
  <r>
    <x v="189"/>
    <x v="9"/>
    <n v="72"/>
    <x v="9"/>
    <x v="9"/>
    <n v="550"/>
    <n v="39600"/>
    <n v="650"/>
    <x v="156"/>
    <n v="7200"/>
  </r>
  <r>
    <x v="190"/>
    <x v="0"/>
    <n v="74"/>
    <x v="0"/>
    <x v="0"/>
    <n v="2500"/>
    <n v="185000"/>
    <n v="5500"/>
    <x v="157"/>
    <n v="222000"/>
  </r>
  <r>
    <x v="191"/>
    <x v="1"/>
    <n v="21"/>
    <x v="1"/>
    <x v="1"/>
    <n v="1200"/>
    <n v="25200"/>
    <n v="2500"/>
    <x v="158"/>
    <n v="27300"/>
  </r>
  <r>
    <x v="192"/>
    <x v="2"/>
    <n v="44"/>
    <x v="2"/>
    <x v="2"/>
    <n v="800"/>
    <n v="35200"/>
    <n v="1500"/>
    <x v="159"/>
    <n v="30800"/>
  </r>
  <r>
    <x v="193"/>
    <x v="3"/>
    <n v="34"/>
    <x v="3"/>
    <x v="3"/>
    <n v="1000"/>
    <n v="34000"/>
    <n v="2000"/>
    <x v="160"/>
    <n v="34000"/>
  </r>
  <r>
    <x v="194"/>
    <x v="4"/>
    <n v="81"/>
    <x v="4"/>
    <x v="4"/>
    <n v="1000"/>
    <n v="81000"/>
    <n v="2200"/>
    <x v="161"/>
    <n v="97200"/>
  </r>
  <r>
    <x v="195"/>
    <x v="5"/>
    <n v="51"/>
    <x v="5"/>
    <x v="5"/>
    <n v="600"/>
    <n v="30600"/>
    <n v="1200"/>
    <x v="139"/>
    <n v="30600"/>
  </r>
  <r>
    <x v="196"/>
    <x v="6"/>
    <n v="36"/>
    <x v="6"/>
    <x v="6"/>
    <n v="200"/>
    <n v="7200"/>
    <n v="550"/>
    <x v="162"/>
    <n v="12600"/>
  </r>
  <r>
    <x v="197"/>
    <x v="7"/>
    <n v="6"/>
    <x v="7"/>
    <x v="7"/>
    <n v="550"/>
    <n v="3300"/>
    <n v="1200"/>
    <x v="163"/>
    <n v="3900"/>
  </r>
  <r>
    <x v="198"/>
    <x v="8"/>
    <n v="68"/>
    <x v="8"/>
    <x v="8"/>
    <n v="1000"/>
    <n v="68000"/>
    <n v="2200"/>
    <x v="164"/>
    <n v="81600"/>
  </r>
  <r>
    <x v="199"/>
    <x v="9"/>
    <n v="55"/>
    <x v="9"/>
    <x v="9"/>
    <n v="550"/>
    <n v="30250"/>
    <n v="650"/>
    <x v="34"/>
    <n v="5500"/>
  </r>
  <r>
    <x v="200"/>
    <x v="0"/>
    <n v="75"/>
    <x v="0"/>
    <x v="0"/>
    <n v="2500"/>
    <n v="187500"/>
    <n v="5500"/>
    <x v="165"/>
    <n v="225000"/>
  </r>
  <r>
    <x v="201"/>
    <x v="1"/>
    <n v="82"/>
    <x v="1"/>
    <x v="1"/>
    <n v="1200"/>
    <n v="98400"/>
    <n v="2500"/>
    <x v="166"/>
    <n v="106600"/>
  </r>
  <r>
    <x v="202"/>
    <x v="2"/>
    <n v="32"/>
    <x v="2"/>
    <x v="2"/>
    <n v="800"/>
    <n v="25600"/>
    <n v="1500"/>
    <x v="58"/>
    <n v="22400"/>
  </r>
  <r>
    <x v="203"/>
    <x v="3"/>
    <n v="70"/>
    <x v="3"/>
    <x v="3"/>
    <n v="1000"/>
    <n v="70000"/>
    <n v="2000"/>
    <x v="113"/>
    <n v="70000"/>
  </r>
  <r>
    <x v="204"/>
    <x v="4"/>
    <n v="73"/>
    <x v="4"/>
    <x v="4"/>
    <n v="1000"/>
    <n v="73000"/>
    <n v="2200"/>
    <x v="167"/>
    <n v="87600"/>
  </r>
  <r>
    <x v="205"/>
    <x v="5"/>
    <n v="60"/>
    <x v="5"/>
    <x v="5"/>
    <n v="600"/>
    <n v="36000"/>
    <n v="1200"/>
    <x v="168"/>
    <n v="36000"/>
  </r>
  <r>
    <x v="206"/>
    <x v="6"/>
    <n v="1"/>
    <x v="6"/>
    <x v="6"/>
    <n v="200"/>
    <n v="200"/>
    <n v="550"/>
    <x v="169"/>
    <n v="350"/>
  </r>
  <r>
    <x v="207"/>
    <x v="7"/>
    <n v="69"/>
    <x v="7"/>
    <x v="7"/>
    <n v="550"/>
    <n v="37950"/>
    <n v="1200"/>
    <x v="170"/>
    <n v="44850"/>
  </r>
  <r>
    <x v="208"/>
    <x v="8"/>
    <n v="20"/>
    <x v="8"/>
    <x v="8"/>
    <n v="1000"/>
    <n v="20000"/>
    <n v="2200"/>
    <x v="68"/>
    <n v="24000"/>
  </r>
  <r>
    <x v="209"/>
    <x v="9"/>
    <n v="12"/>
    <x v="9"/>
    <x v="9"/>
    <n v="550"/>
    <n v="6600"/>
    <n v="650"/>
    <x v="171"/>
    <n v="1200"/>
  </r>
  <r>
    <x v="210"/>
    <x v="0"/>
    <n v="5"/>
    <x v="0"/>
    <x v="0"/>
    <n v="2500"/>
    <n v="12500"/>
    <n v="5500"/>
    <x v="172"/>
    <n v="15000"/>
  </r>
  <r>
    <x v="211"/>
    <x v="1"/>
    <n v="35"/>
    <x v="1"/>
    <x v="1"/>
    <n v="1200"/>
    <n v="42000"/>
    <n v="2500"/>
    <x v="173"/>
    <n v="45500"/>
  </r>
  <r>
    <x v="212"/>
    <x v="2"/>
    <n v="54"/>
    <x v="2"/>
    <x v="2"/>
    <n v="800"/>
    <n v="43200"/>
    <n v="1500"/>
    <x v="174"/>
    <n v="37800"/>
  </r>
  <r>
    <x v="213"/>
    <x v="3"/>
    <n v="41"/>
    <x v="3"/>
    <x v="3"/>
    <n v="1000"/>
    <n v="41000"/>
    <n v="2000"/>
    <x v="175"/>
    <n v="41000"/>
  </r>
  <r>
    <x v="214"/>
    <x v="4"/>
    <n v="60"/>
    <x v="4"/>
    <x v="4"/>
    <n v="1000"/>
    <n v="60000"/>
    <n v="2200"/>
    <x v="176"/>
    <n v="72000"/>
  </r>
  <r>
    <x v="215"/>
    <x v="5"/>
    <n v="30"/>
    <x v="5"/>
    <x v="5"/>
    <n v="600"/>
    <n v="18000"/>
    <n v="1200"/>
    <x v="17"/>
    <n v="18000"/>
  </r>
  <r>
    <x v="216"/>
    <x v="6"/>
    <n v="86"/>
    <x v="6"/>
    <x v="6"/>
    <n v="200"/>
    <n v="17200"/>
    <n v="550"/>
    <x v="177"/>
    <n v="30100"/>
  </r>
  <r>
    <x v="217"/>
    <x v="7"/>
    <n v="70"/>
    <x v="7"/>
    <x v="7"/>
    <n v="550"/>
    <n v="38500"/>
    <n v="1200"/>
    <x v="178"/>
    <n v="45500"/>
  </r>
  <r>
    <x v="218"/>
    <x v="8"/>
    <n v="4"/>
    <x v="8"/>
    <x v="8"/>
    <n v="1000"/>
    <n v="4000"/>
    <n v="2200"/>
    <x v="179"/>
    <n v="4800"/>
  </r>
  <r>
    <x v="219"/>
    <x v="9"/>
    <n v="36"/>
    <x v="9"/>
    <x v="9"/>
    <n v="550"/>
    <n v="19800"/>
    <n v="650"/>
    <x v="180"/>
    <n v="3600"/>
  </r>
  <r>
    <x v="220"/>
    <x v="0"/>
    <n v="89"/>
    <x v="0"/>
    <x v="0"/>
    <n v="2500"/>
    <n v="222500"/>
    <n v="5500"/>
    <x v="181"/>
    <n v="267000"/>
  </r>
  <r>
    <x v="221"/>
    <x v="1"/>
    <n v="47"/>
    <x v="1"/>
    <x v="1"/>
    <n v="1200"/>
    <n v="56400"/>
    <n v="2500"/>
    <x v="182"/>
    <n v="61100"/>
  </r>
  <r>
    <x v="222"/>
    <x v="2"/>
    <n v="75"/>
    <x v="2"/>
    <x v="2"/>
    <n v="800"/>
    <n v="60000"/>
    <n v="1500"/>
    <x v="183"/>
    <n v="52500"/>
  </r>
  <r>
    <x v="223"/>
    <x v="3"/>
    <n v="8"/>
    <x v="3"/>
    <x v="3"/>
    <n v="1000"/>
    <n v="8000"/>
    <n v="2000"/>
    <x v="40"/>
    <n v="8000"/>
  </r>
  <r>
    <x v="224"/>
    <x v="4"/>
    <n v="89"/>
    <x v="4"/>
    <x v="4"/>
    <n v="1000"/>
    <n v="89000"/>
    <n v="2200"/>
    <x v="184"/>
    <n v="106800"/>
  </r>
  <r>
    <x v="225"/>
    <x v="5"/>
    <n v="28"/>
    <x v="5"/>
    <x v="5"/>
    <n v="600"/>
    <n v="16800"/>
    <n v="1200"/>
    <x v="185"/>
    <n v="16800"/>
  </r>
  <r>
    <x v="226"/>
    <x v="6"/>
    <n v="80"/>
    <x v="6"/>
    <x v="6"/>
    <n v="200"/>
    <n v="16000"/>
    <n v="550"/>
    <x v="68"/>
    <n v="28000"/>
  </r>
  <r>
    <x v="227"/>
    <x v="7"/>
    <n v="43"/>
    <x v="7"/>
    <x v="7"/>
    <n v="550"/>
    <n v="23650"/>
    <n v="1200"/>
    <x v="186"/>
    <n v="27950"/>
  </r>
  <r>
    <x v="228"/>
    <x v="8"/>
    <n v="44"/>
    <x v="8"/>
    <x v="8"/>
    <n v="1000"/>
    <n v="44000"/>
    <n v="2200"/>
    <x v="100"/>
    <n v="52800"/>
  </r>
  <r>
    <x v="229"/>
    <x v="9"/>
    <n v="63"/>
    <x v="9"/>
    <x v="9"/>
    <n v="550"/>
    <n v="34650"/>
    <n v="650"/>
    <x v="187"/>
    <n v="6300"/>
  </r>
  <r>
    <x v="230"/>
    <x v="0"/>
    <n v="77"/>
    <x v="0"/>
    <x v="0"/>
    <n v="2500"/>
    <n v="192500"/>
    <n v="5500"/>
    <x v="188"/>
    <n v="231000"/>
  </r>
  <r>
    <x v="231"/>
    <x v="1"/>
    <n v="46"/>
    <x v="1"/>
    <x v="1"/>
    <n v="1200"/>
    <n v="55200"/>
    <n v="2500"/>
    <x v="189"/>
    <n v="59800"/>
  </r>
  <r>
    <x v="232"/>
    <x v="2"/>
    <n v="54"/>
    <x v="2"/>
    <x v="2"/>
    <n v="800"/>
    <n v="43200"/>
    <n v="1500"/>
    <x v="174"/>
    <n v="37800"/>
  </r>
  <r>
    <x v="233"/>
    <x v="3"/>
    <n v="85"/>
    <x v="3"/>
    <x v="3"/>
    <n v="1000"/>
    <n v="85000"/>
    <n v="2000"/>
    <x v="190"/>
    <n v="85000"/>
  </r>
  <r>
    <x v="234"/>
    <x v="4"/>
    <n v="37"/>
    <x v="4"/>
    <x v="4"/>
    <n v="1000"/>
    <n v="37000"/>
    <n v="2200"/>
    <x v="133"/>
    <n v="44400"/>
  </r>
  <r>
    <x v="235"/>
    <x v="5"/>
    <n v="93"/>
    <x v="5"/>
    <x v="5"/>
    <n v="600"/>
    <n v="55800"/>
    <n v="1200"/>
    <x v="191"/>
    <n v="55800"/>
  </r>
  <r>
    <x v="236"/>
    <x v="6"/>
    <n v="86"/>
    <x v="6"/>
    <x v="6"/>
    <n v="200"/>
    <n v="17200"/>
    <n v="550"/>
    <x v="177"/>
    <n v="30100"/>
  </r>
  <r>
    <x v="237"/>
    <x v="7"/>
    <n v="10"/>
    <x v="7"/>
    <x v="7"/>
    <n v="550"/>
    <n v="5500"/>
    <n v="1200"/>
    <x v="192"/>
    <n v="6500"/>
  </r>
  <r>
    <x v="238"/>
    <x v="8"/>
    <n v="90"/>
    <x v="8"/>
    <x v="8"/>
    <n v="1000"/>
    <n v="90000"/>
    <n v="2200"/>
    <x v="193"/>
    <n v="108000"/>
  </r>
  <r>
    <x v="239"/>
    <x v="9"/>
    <n v="24"/>
    <x v="9"/>
    <x v="9"/>
    <n v="550"/>
    <n v="13200"/>
    <n v="650"/>
    <x v="194"/>
    <n v="2400"/>
  </r>
  <r>
    <x v="240"/>
    <x v="0"/>
    <n v="75"/>
    <x v="0"/>
    <x v="0"/>
    <n v="2500"/>
    <n v="187500"/>
    <n v="5500"/>
    <x v="165"/>
    <n v="225000"/>
  </r>
  <r>
    <x v="241"/>
    <x v="1"/>
    <n v="74"/>
    <x v="1"/>
    <x v="1"/>
    <n v="1200"/>
    <n v="88800"/>
    <n v="2500"/>
    <x v="195"/>
    <n v="96200"/>
  </r>
  <r>
    <x v="242"/>
    <x v="2"/>
    <n v="86"/>
    <x v="2"/>
    <x v="2"/>
    <n v="800"/>
    <n v="68800"/>
    <n v="1500"/>
    <x v="196"/>
    <n v="60200"/>
  </r>
  <r>
    <x v="243"/>
    <x v="3"/>
    <n v="41"/>
    <x v="3"/>
    <x v="3"/>
    <n v="1000"/>
    <n v="41000"/>
    <n v="2000"/>
    <x v="175"/>
    <n v="41000"/>
  </r>
  <r>
    <x v="244"/>
    <x v="4"/>
    <n v="53"/>
    <x v="4"/>
    <x v="4"/>
    <n v="1000"/>
    <n v="53000"/>
    <n v="2200"/>
    <x v="18"/>
    <n v="63600"/>
  </r>
  <r>
    <x v="245"/>
    <x v="5"/>
    <n v="7"/>
    <x v="5"/>
    <x v="5"/>
    <n v="600"/>
    <n v="4200"/>
    <n v="1200"/>
    <x v="197"/>
    <n v="4200"/>
  </r>
  <r>
    <x v="246"/>
    <x v="6"/>
    <n v="69"/>
    <x v="6"/>
    <x v="6"/>
    <n v="200"/>
    <n v="13800"/>
    <n v="550"/>
    <x v="198"/>
    <n v="24150"/>
  </r>
  <r>
    <x v="247"/>
    <x v="7"/>
    <n v="56"/>
    <x v="7"/>
    <x v="7"/>
    <n v="550"/>
    <n v="30800"/>
    <n v="1200"/>
    <x v="199"/>
    <n v="36400"/>
  </r>
  <r>
    <x v="248"/>
    <x v="8"/>
    <n v="59"/>
    <x v="8"/>
    <x v="8"/>
    <n v="1000"/>
    <n v="59000"/>
    <n v="2200"/>
    <x v="200"/>
    <n v="70800"/>
  </r>
  <r>
    <x v="249"/>
    <x v="9"/>
    <n v="40"/>
    <x v="9"/>
    <x v="9"/>
    <n v="550"/>
    <n v="22000"/>
    <n v="650"/>
    <x v="201"/>
    <n v="4000"/>
  </r>
  <r>
    <x v="250"/>
    <x v="0"/>
    <n v="64"/>
    <x v="0"/>
    <x v="0"/>
    <n v="2500"/>
    <n v="160000"/>
    <n v="5500"/>
    <x v="202"/>
    <n v="192000"/>
  </r>
  <r>
    <x v="251"/>
    <x v="1"/>
    <n v="27"/>
    <x v="1"/>
    <x v="1"/>
    <n v="1200"/>
    <n v="32400"/>
    <n v="2500"/>
    <x v="150"/>
    <n v="35100"/>
  </r>
  <r>
    <x v="252"/>
    <x v="2"/>
    <n v="11"/>
    <x v="2"/>
    <x v="2"/>
    <n v="800"/>
    <n v="8800"/>
    <n v="1500"/>
    <x v="70"/>
    <n v="7700"/>
  </r>
  <r>
    <x v="253"/>
    <x v="3"/>
    <n v="12"/>
    <x v="3"/>
    <x v="3"/>
    <n v="1000"/>
    <n v="12000"/>
    <n v="2000"/>
    <x v="203"/>
    <n v="12000"/>
  </r>
  <r>
    <x v="254"/>
    <x v="4"/>
    <n v="47"/>
    <x v="4"/>
    <x v="4"/>
    <n v="1000"/>
    <n v="47000"/>
    <n v="2200"/>
    <x v="62"/>
    <n v="56400"/>
  </r>
  <r>
    <x v="255"/>
    <x v="5"/>
    <n v="79"/>
    <x v="5"/>
    <x v="5"/>
    <n v="600"/>
    <n v="47400"/>
    <n v="1200"/>
    <x v="204"/>
    <n v="47400"/>
  </r>
  <r>
    <x v="256"/>
    <x v="6"/>
    <n v="93"/>
    <x v="6"/>
    <x v="6"/>
    <n v="200"/>
    <n v="18600"/>
    <n v="550"/>
    <x v="205"/>
    <n v="32550"/>
  </r>
  <r>
    <x v="257"/>
    <x v="7"/>
    <n v="59"/>
    <x v="7"/>
    <x v="7"/>
    <n v="550"/>
    <n v="32450"/>
    <n v="1200"/>
    <x v="117"/>
    <n v="38350"/>
  </r>
  <r>
    <x v="258"/>
    <x v="8"/>
    <n v="73"/>
    <x v="8"/>
    <x v="8"/>
    <n v="1000"/>
    <n v="73000"/>
    <n v="2200"/>
    <x v="167"/>
    <n v="87600"/>
  </r>
  <r>
    <x v="259"/>
    <x v="9"/>
    <n v="9"/>
    <x v="9"/>
    <x v="9"/>
    <n v="550"/>
    <n v="4950"/>
    <n v="650"/>
    <x v="206"/>
    <n v="900"/>
  </r>
  <r>
    <x v="260"/>
    <x v="0"/>
    <n v="38"/>
    <x v="0"/>
    <x v="0"/>
    <n v="2500"/>
    <n v="95000"/>
    <n v="5500"/>
    <x v="207"/>
    <n v="114000"/>
  </r>
  <r>
    <x v="261"/>
    <x v="1"/>
    <n v="24"/>
    <x v="1"/>
    <x v="1"/>
    <n v="1200"/>
    <n v="28800"/>
    <n v="2500"/>
    <x v="208"/>
    <n v="31200"/>
  </r>
  <r>
    <x v="262"/>
    <x v="2"/>
    <n v="90"/>
    <x v="2"/>
    <x v="2"/>
    <n v="800"/>
    <n v="72000"/>
    <n v="1500"/>
    <x v="12"/>
    <n v="63000"/>
  </r>
  <r>
    <x v="263"/>
    <x v="3"/>
    <n v="12"/>
    <x v="3"/>
    <x v="3"/>
    <n v="1000"/>
    <n v="12000"/>
    <n v="2000"/>
    <x v="203"/>
    <n v="12000"/>
  </r>
  <r>
    <x v="264"/>
    <x v="4"/>
    <n v="41"/>
    <x v="4"/>
    <x v="4"/>
    <n v="1000"/>
    <n v="41000"/>
    <n v="2200"/>
    <x v="209"/>
    <n v="49200"/>
  </r>
  <r>
    <x v="265"/>
    <x v="5"/>
    <n v="51"/>
    <x v="5"/>
    <x v="5"/>
    <n v="600"/>
    <n v="30600"/>
    <n v="1200"/>
    <x v="139"/>
    <n v="30600"/>
  </r>
  <r>
    <x v="266"/>
    <x v="6"/>
    <n v="63"/>
    <x v="6"/>
    <x v="6"/>
    <n v="200"/>
    <n v="12600"/>
    <n v="550"/>
    <x v="210"/>
    <n v="22050"/>
  </r>
  <r>
    <x v="267"/>
    <x v="7"/>
    <n v="88"/>
    <x v="7"/>
    <x v="7"/>
    <n v="550"/>
    <n v="48400"/>
    <n v="1200"/>
    <x v="54"/>
    <n v="57200"/>
  </r>
  <r>
    <x v="268"/>
    <x v="8"/>
    <n v="30"/>
    <x v="8"/>
    <x v="8"/>
    <n v="1000"/>
    <n v="30000"/>
    <n v="2200"/>
    <x v="159"/>
    <n v="36000"/>
  </r>
  <r>
    <x v="269"/>
    <x v="9"/>
    <n v="81"/>
    <x v="9"/>
    <x v="9"/>
    <n v="550"/>
    <n v="44550"/>
    <n v="650"/>
    <x v="211"/>
    <n v="8100"/>
  </r>
  <r>
    <x v="270"/>
    <x v="0"/>
    <n v="45"/>
    <x v="0"/>
    <x v="0"/>
    <n v="2500"/>
    <n v="112500"/>
    <n v="5500"/>
    <x v="212"/>
    <n v="135000"/>
  </r>
  <r>
    <x v="271"/>
    <x v="1"/>
    <n v="20"/>
    <x v="1"/>
    <x v="1"/>
    <n v="1200"/>
    <n v="24000"/>
    <n v="2500"/>
    <x v="213"/>
    <n v="26000"/>
  </r>
  <r>
    <x v="272"/>
    <x v="2"/>
    <n v="97"/>
    <x v="2"/>
    <x v="2"/>
    <n v="800"/>
    <n v="77600"/>
    <n v="1500"/>
    <x v="74"/>
    <n v="67900"/>
  </r>
  <r>
    <x v="273"/>
    <x v="3"/>
    <n v="96"/>
    <x v="3"/>
    <x v="3"/>
    <n v="1000"/>
    <n v="96000"/>
    <n v="2000"/>
    <x v="214"/>
    <n v="96000"/>
  </r>
  <r>
    <x v="274"/>
    <x v="4"/>
    <n v="81"/>
    <x v="4"/>
    <x v="4"/>
    <n v="1000"/>
    <n v="81000"/>
    <n v="2200"/>
    <x v="161"/>
    <n v="97200"/>
  </r>
  <r>
    <x v="275"/>
    <x v="5"/>
    <n v="11"/>
    <x v="5"/>
    <x v="5"/>
    <n v="600"/>
    <n v="6600"/>
    <n v="1200"/>
    <x v="26"/>
    <n v="6600"/>
  </r>
  <r>
    <x v="276"/>
    <x v="6"/>
    <n v="71"/>
    <x v="6"/>
    <x v="6"/>
    <n v="200"/>
    <n v="14200"/>
    <n v="550"/>
    <x v="215"/>
    <n v="24850"/>
  </r>
  <r>
    <x v="277"/>
    <x v="7"/>
    <n v="60"/>
    <x v="7"/>
    <x v="7"/>
    <n v="550"/>
    <n v="33000"/>
    <n v="1200"/>
    <x v="168"/>
    <n v="39000"/>
  </r>
  <r>
    <x v="278"/>
    <x v="8"/>
    <n v="53"/>
    <x v="8"/>
    <x v="8"/>
    <n v="1000"/>
    <n v="53000"/>
    <n v="2200"/>
    <x v="18"/>
    <n v="63600"/>
  </r>
  <r>
    <x v="279"/>
    <x v="9"/>
    <n v="68"/>
    <x v="9"/>
    <x v="9"/>
    <n v="550"/>
    <n v="37400"/>
    <n v="650"/>
    <x v="216"/>
    <n v="6800"/>
  </r>
  <r>
    <x v="280"/>
    <x v="0"/>
    <n v="100"/>
    <x v="0"/>
    <x v="0"/>
    <n v="2500"/>
    <n v="250000"/>
    <n v="5500"/>
    <x v="0"/>
    <n v="300000"/>
  </r>
  <r>
    <x v="281"/>
    <x v="1"/>
    <n v="40"/>
    <x v="1"/>
    <x v="1"/>
    <n v="1200"/>
    <n v="48000"/>
    <n v="2500"/>
    <x v="217"/>
    <n v="52000"/>
  </r>
  <r>
    <x v="282"/>
    <x v="2"/>
    <n v="92"/>
    <x v="2"/>
    <x v="2"/>
    <n v="800"/>
    <n v="73600"/>
    <n v="1500"/>
    <x v="22"/>
    <n v="64400"/>
  </r>
  <r>
    <x v="283"/>
    <x v="3"/>
    <n v="55"/>
    <x v="3"/>
    <x v="3"/>
    <n v="1000"/>
    <n v="55000"/>
    <n v="2000"/>
    <x v="24"/>
    <n v="55000"/>
  </r>
  <r>
    <x v="284"/>
    <x v="4"/>
    <n v="84"/>
    <x v="4"/>
    <x v="4"/>
    <n v="1000"/>
    <n v="84000"/>
    <n v="2200"/>
    <x v="218"/>
    <n v="100800"/>
  </r>
  <r>
    <x v="285"/>
    <x v="5"/>
    <n v="59"/>
    <x v="5"/>
    <x v="5"/>
    <n v="600"/>
    <n v="35400"/>
    <n v="1200"/>
    <x v="117"/>
    <n v="35400"/>
  </r>
  <r>
    <x v="286"/>
    <x v="6"/>
    <n v="11"/>
    <x v="6"/>
    <x v="6"/>
    <n v="200"/>
    <n v="2200"/>
    <n v="550"/>
    <x v="219"/>
    <n v="3850"/>
  </r>
  <r>
    <x v="287"/>
    <x v="7"/>
    <n v="84"/>
    <x v="7"/>
    <x v="7"/>
    <n v="550"/>
    <n v="46200"/>
    <n v="1200"/>
    <x v="69"/>
    <n v="54600"/>
  </r>
  <r>
    <x v="288"/>
    <x v="8"/>
    <n v="53"/>
    <x v="8"/>
    <x v="8"/>
    <n v="1000"/>
    <n v="53000"/>
    <n v="2200"/>
    <x v="18"/>
    <n v="63600"/>
  </r>
  <r>
    <x v="289"/>
    <x v="9"/>
    <n v="14"/>
    <x v="9"/>
    <x v="9"/>
    <n v="550"/>
    <n v="7700"/>
    <n v="650"/>
    <x v="56"/>
    <n v="1400"/>
  </r>
  <r>
    <x v="290"/>
    <x v="0"/>
    <n v="92"/>
    <x v="0"/>
    <x v="0"/>
    <n v="2500"/>
    <n v="230000"/>
    <n v="5500"/>
    <x v="220"/>
    <n v="276000"/>
  </r>
  <r>
    <x v="291"/>
    <x v="1"/>
    <n v="45"/>
    <x v="1"/>
    <x v="1"/>
    <n v="1200"/>
    <n v="54000"/>
    <n v="2500"/>
    <x v="183"/>
    <n v="58500"/>
  </r>
  <r>
    <x v="292"/>
    <x v="2"/>
    <n v="19"/>
    <x v="2"/>
    <x v="2"/>
    <n v="800"/>
    <n v="15200"/>
    <n v="1500"/>
    <x v="221"/>
    <n v="13300"/>
  </r>
  <r>
    <x v="293"/>
    <x v="3"/>
    <n v="97"/>
    <x v="3"/>
    <x v="3"/>
    <n v="1000"/>
    <n v="97000"/>
    <n v="2000"/>
    <x v="222"/>
    <n v="97000"/>
  </r>
  <r>
    <x v="294"/>
    <x v="4"/>
    <n v="60"/>
    <x v="4"/>
    <x v="4"/>
    <n v="1000"/>
    <n v="60000"/>
    <n v="2200"/>
    <x v="176"/>
    <n v="72000"/>
  </r>
  <r>
    <x v="295"/>
    <x v="5"/>
    <n v="82"/>
    <x v="5"/>
    <x v="5"/>
    <n v="600"/>
    <n v="49200"/>
    <n v="1200"/>
    <x v="115"/>
    <n v="49200"/>
  </r>
  <r>
    <x v="296"/>
    <x v="6"/>
    <n v="97"/>
    <x v="6"/>
    <x v="6"/>
    <n v="200"/>
    <n v="19400"/>
    <n v="550"/>
    <x v="223"/>
    <n v="33950"/>
  </r>
  <r>
    <x v="297"/>
    <x v="7"/>
    <n v="63"/>
    <x v="7"/>
    <x v="7"/>
    <n v="550"/>
    <n v="34650"/>
    <n v="1200"/>
    <x v="224"/>
    <n v="40950"/>
  </r>
  <r>
    <x v="298"/>
    <x v="8"/>
    <n v="85"/>
    <x v="8"/>
    <x v="8"/>
    <n v="1000"/>
    <n v="85000"/>
    <n v="2200"/>
    <x v="225"/>
    <n v="102000"/>
  </r>
  <r>
    <x v="299"/>
    <x v="9"/>
    <n v="20"/>
    <x v="9"/>
    <x v="9"/>
    <n v="550"/>
    <n v="11000"/>
    <n v="650"/>
    <x v="9"/>
    <n v="2000"/>
  </r>
  <r>
    <x v="300"/>
    <x v="0"/>
    <n v="45"/>
    <x v="0"/>
    <x v="0"/>
    <n v="2500"/>
    <n v="112500"/>
    <n v="5500"/>
    <x v="212"/>
    <n v="135000"/>
  </r>
  <r>
    <x v="301"/>
    <x v="1"/>
    <n v="67"/>
    <x v="1"/>
    <x v="1"/>
    <n v="1200"/>
    <n v="80400"/>
    <n v="2500"/>
    <x v="226"/>
    <n v="87100"/>
  </r>
  <r>
    <x v="302"/>
    <x v="2"/>
    <n v="84"/>
    <x v="2"/>
    <x v="2"/>
    <n v="800"/>
    <n v="67200"/>
    <n v="1500"/>
    <x v="227"/>
    <n v="58800"/>
  </r>
  <r>
    <x v="303"/>
    <x v="3"/>
    <n v="71"/>
    <x v="3"/>
    <x v="3"/>
    <n v="1000"/>
    <n v="71000"/>
    <n v="2000"/>
    <x v="228"/>
    <n v="71000"/>
  </r>
  <r>
    <x v="304"/>
    <x v="4"/>
    <n v="17"/>
    <x v="4"/>
    <x v="4"/>
    <n v="1000"/>
    <n v="17000"/>
    <n v="2200"/>
    <x v="59"/>
    <n v="20400"/>
  </r>
  <r>
    <x v="305"/>
    <x v="5"/>
    <n v="92"/>
    <x v="5"/>
    <x v="5"/>
    <n v="600"/>
    <n v="55200"/>
    <n v="1200"/>
    <x v="229"/>
    <n v="55200"/>
  </r>
  <r>
    <x v="306"/>
    <x v="6"/>
    <n v="96"/>
    <x v="6"/>
    <x v="6"/>
    <n v="200"/>
    <n v="19200"/>
    <n v="550"/>
    <x v="53"/>
    <n v="33600"/>
  </r>
  <r>
    <x v="307"/>
    <x v="7"/>
    <n v="39"/>
    <x v="7"/>
    <x v="7"/>
    <n v="550"/>
    <n v="21450"/>
    <n v="1200"/>
    <x v="156"/>
    <n v="25350"/>
  </r>
  <r>
    <x v="308"/>
    <x v="8"/>
    <n v="42"/>
    <x v="8"/>
    <x v="8"/>
    <n v="1000"/>
    <n v="42000"/>
    <n v="2200"/>
    <x v="91"/>
    <n v="50400"/>
  </r>
  <r>
    <x v="309"/>
    <x v="9"/>
    <n v="16"/>
    <x v="9"/>
    <x v="9"/>
    <n v="550"/>
    <n v="8800"/>
    <n v="650"/>
    <x v="230"/>
    <n v="1600"/>
  </r>
  <r>
    <x v="310"/>
    <x v="0"/>
    <n v="48"/>
    <x v="0"/>
    <x v="0"/>
    <n v="2500"/>
    <n v="120000"/>
    <n v="5500"/>
    <x v="231"/>
    <n v="144000"/>
  </r>
  <r>
    <x v="311"/>
    <x v="1"/>
    <n v="13"/>
    <x v="1"/>
    <x v="1"/>
    <n v="1200"/>
    <n v="15600"/>
    <n v="2500"/>
    <x v="71"/>
    <n v="16900"/>
  </r>
  <r>
    <x v="312"/>
    <x v="2"/>
    <n v="24"/>
    <x v="2"/>
    <x v="2"/>
    <n v="800"/>
    <n v="19200"/>
    <n v="1500"/>
    <x v="17"/>
    <n v="16800"/>
  </r>
  <r>
    <x v="313"/>
    <x v="3"/>
    <n v="46"/>
    <x v="3"/>
    <x v="3"/>
    <n v="1000"/>
    <n v="46000"/>
    <n v="2000"/>
    <x v="232"/>
    <n v="46000"/>
  </r>
  <r>
    <x v="314"/>
    <x v="4"/>
    <n v="11"/>
    <x v="4"/>
    <x v="4"/>
    <n v="1000"/>
    <n v="11000"/>
    <n v="2200"/>
    <x v="233"/>
    <n v="13200"/>
  </r>
  <r>
    <x v="315"/>
    <x v="5"/>
    <n v="15"/>
    <x v="5"/>
    <x v="5"/>
    <n v="600"/>
    <n v="9000"/>
    <n v="1200"/>
    <x v="129"/>
    <n v="9000"/>
  </r>
  <r>
    <x v="316"/>
    <x v="6"/>
    <n v="10"/>
    <x v="6"/>
    <x v="6"/>
    <n v="200"/>
    <n v="2000"/>
    <n v="550"/>
    <x v="105"/>
    <n v="3500"/>
  </r>
  <r>
    <x v="317"/>
    <x v="7"/>
    <n v="69"/>
    <x v="7"/>
    <x v="7"/>
    <n v="550"/>
    <n v="37950"/>
    <n v="1200"/>
    <x v="170"/>
    <n v="44850"/>
  </r>
  <r>
    <x v="318"/>
    <x v="8"/>
    <n v="82"/>
    <x v="8"/>
    <x v="8"/>
    <n v="1000"/>
    <n v="82000"/>
    <n v="2200"/>
    <x v="234"/>
    <n v="98400"/>
  </r>
  <r>
    <x v="319"/>
    <x v="9"/>
    <n v="63"/>
    <x v="9"/>
    <x v="9"/>
    <n v="550"/>
    <n v="34650"/>
    <n v="650"/>
    <x v="187"/>
    <n v="6300"/>
  </r>
  <r>
    <x v="320"/>
    <x v="0"/>
    <n v="46"/>
    <x v="0"/>
    <x v="0"/>
    <n v="2500"/>
    <n v="115000"/>
    <n v="5500"/>
    <x v="119"/>
    <n v="138000"/>
  </r>
  <r>
    <x v="321"/>
    <x v="1"/>
    <n v="34"/>
    <x v="1"/>
    <x v="1"/>
    <n v="1200"/>
    <n v="40800"/>
    <n v="2500"/>
    <x v="235"/>
    <n v="44200"/>
  </r>
  <r>
    <x v="322"/>
    <x v="2"/>
    <n v="53"/>
    <x v="2"/>
    <x v="2"/>
    <n v="800"/>
    <n v="42400"/>
    <n v="1500"/>
    <x v="236"/>
    <n v="37100"/>
  </r>
  <r>
    <x v="323"/>
    <x v="3"/>
    <n v="60"/>
    <x v="3"/>
    <x v="3"/>
    <n v="1000"/>
    <n v="60000"/>
    <n v="2000"/>
    <x v="31"/>
    <n v="60000"/>
  </r>
  <r>
    <x v="324"/>
    <x v="4"/>
    <n v="89"/>
    <x v="4"/>
    <x v="4"/>
    <n v="1000"/>
    <n v="89000"/>
    <n v="2200"/>
    <x v="184"/>
    <n v="106800"/>
  </r>
  <r>
    <x v="325"/>
    <x v="5"/>
    <n v="30"/>
    <x v="5"/>
    <x v="5"/>
    <n v="600"/>
    <n v="18000"/>
    <n v="1200"/>
    <x v="17"/>
    <n v="18000"/>
  </r>
  <r>
    <x v="326"/>
    <x v="6"/>
    <n v="43"/>
    <x v="6"/>
    <x v="6"/>
    <n v="200"/>
    <n v="8600"/>
    <n v="550"/>
    <x v="237"/>
    <n v="15050"/>
  </r>
  <r>
    <x v="327"/>
    <x v="7"/>
    <n v="32"/>
    <x v="7"/>
    <x v="7"/>
    <n v="550"/>
    <n v="17600"/>
    <n v="1200"/>
    <x v="60"/>
    <n v="20800"/>
  </r>
  <r>
    <x v="328"/>
    <x v="8"/>
    <n v="36"/>
    <x v="8"/>
    <x v="8"/>
    <n v="1000"/>
    <n v="36000"/>
    <n v="2200"/>
    <x v="238"/>
    <n v="43200"/>
  </r>
  <r>
    <x v="329"/>
    <x v="9"/>
    <n v="5"/>
    <x v="9"/>
    <x v="9"/>
    <n v="550"/>
    <n v="2750"/>
    <n v="650"/>
    <x v="239"/>
    <n v="500"/>
  </r>
  <r>
    <x v="330"/>
    <x v="0"/>
    <n v="18"/>
    <x v="0"/>
    <x v="0"/>
    <n v="2500"/>
    <n v="45000"/>
    <n v="5500"/>
    <x v="29"/>
    <n v="54000"/>
  </r>
  <r>
    <x v="331"/>
    <x v="1"/>
    <n v="24"/>
    <x v="1"/>
    <x v="1"/>
    <n v="1200"/>
    <n v="28800"/>
    <n v="2500"/>
    <x v="208"/>
    <n v="31200"/>
  </r>
  <r>
    <x v="332"/>
    <x v="2"/>
    <n v="74"/>
    <x v="2"/>
    <x v="2"/>
    <n v="800"/>
    <n v="59200"/>
    <n v="1500"/>
    <x v="240"/>
    <n v="51800"/>
  </r>
  <r>
    <x v="333"/>
    <x v="3"/>
    <n v="64"/>
    <x v="3"/>
    <x v="3"/>
    <n v="1000"/>
    <n v="64000"/>
    <n v="2000"/>
    <x v="241"/>
    <n v="64000"/>
  </r>
  <r>
    <x v="334"/>
    <x v="4"/>
    <n v="47"/>
    <x v="4"/>
    <x v="4"/>
    <n v="1000"/>
    <n v="47000"/>
    <n v="2200"/>
    <x v="62"/>
    <n v="56400"/>
  </r>
  <r>
    <x v="335"/>
    <x v="5"/>
    <n v="70"/>
    <x v="5"/>
    <x v="5"/>
    <n v="600"/>
    <n v="42000"/>
    <n v="1200"/>
    <x v="178"/>
    <n v="42000"/>
  </r>
  <r>
    <x v="336"/>
    <x v="6"/>
    <n v="77"/>
    <x v="6"/>
    <x v="6"/>
    <n v="200"/>
    <n v="15400"/>
    <n v="550"/>
    <x v="242"/>
    <n v="26950"/>
  </r>
  <r>
    <x v="337"/>
    <x v="7"/>
    <n v="60"/>
    <x v="7"/>
    <x v="7"/>
    <n v="550"/>
    <n v="33000"/>
    <n v="1200"/>
    <x v="168"/>
    <n v="39000"/>
  </r>
  <r>
    <x v="338"/>
    <x v="8"/>
    <n v="86"/>
    <x v="8"/>
    <x v="8"/>
    <n v="1000"/>
    <n v="86000"/>
    <n v="2200"/>
    <x v="243"/>
    <n v="103200"/>
  </r>
  <r>
    <x v="339"/>
    <x v="9"/>
    <n v="83"/>
    <x v="9"/>
    <x v="9"/>
    <n v="550"/>
    <n v="45650"/>
    <n v="650"/>
    <x v="36"/>
    <n v="8300"/>
  </r>
  <r>
    <x v="340"/>
    <x v="0"/>
    <n v="14"/>
    <x v="0"/>
    <x v="0"/>
    <n v="2500"/>
    <n v="35000"/>
    <n v="5500"/>
    <x v="135"/>
    <n v="42000"/>
  </r>
  <r>
    <x v="341"/>
    <x v="1"/>
    <n v="70"/>
    <x v="1"/>
    <x v="1"/>
    <n v="1200"/>
    <n v="84000"/>
    <n v="2500"/>
    <x v="244"/>
    <n v="91000"/>
  </r>
  <r>
    <x v="342"/>
    <x v="2"/>
    <n v="44"/>
    <x v="2"/>
    <x v="2"/>
    <n v="800"/>
    <n v="35200"/>
    <n v="1500"/>
    <x v="159"/>
    <n v="30800"/>
  </r>
  <r>
    <x v="343"/>
    <x v="3"/>
    <n v="13"/>
    <x v="3"/>
    <x v="3"/>
    <n v="1000"/>
    <n v="13000"/>
    <n v="2000"/>
    <x v="201"/>
    <n v="13000"/>
  </r>
  <r>
    <x v="344"/>
    <x v="4"/>
    <n v="15"/>
    <x v="4"/>
    <x v="4"/>
    <n v="1000"/>
    <n v="15000"/>
    <n v="2200"/>
    <x v="37"/>
    <n v="18000"/>
  </r>
  <r>
    <x v="345"/>
    <x v="5"/>
    <n v="82"/>
    <x v="5"/>
    <x v="5"/>
    <n v="600"/>
    <n v="49200"/>
    <n v="1200"/>
    <x v="115"/>
    <n v="49200"/>
  </r>
  <r>
    <x v="346"/>
    <x v="6"/>
    <n v="60"/>
    <x v="6"/>
    <x v="6"/>
    <n v="200"/>
    <n v="12000"/>
    <n v="550"/>
    <x v="37"/>
    <n v="21000"/>
  </r>
  <r>
    <x v="347"/>
    <x v="7"/>
    <n v="74"/>
    <x v="7"/>
    <x v="7"/>
    <n v="550"/>
    <n v="40700"/>
    <n v="1200"/>
    <x v="245"/>
    <n v="48100"/>
  </r>
  <r>
    <x v="348"/>
    <x v="8"/>
    <n v="7"/>
    <x v="8"/>
    <x v="8"/>
    <n v="1000"/>
    <n v="7000"/>
    <n v="2200"/>
    <x v="246"/>
    <n v="8400"/>
  </r>
  <r>
    <x v="349"/>
    <x v="9"/>
    <n v="15"/>
    <x v="9"/>
    <x v="9"/>
    <n v="550"/>
    <n v="8250"/>
    <n v="650"/>
    <x v="148"/>
    <n v="1500"/>
  </r>
  <r>
    <x v="350"/>
    <x v="0"/>
    <n v="49"/>
    <x v="0"/>
    <x v="0"/>
    <n v="2500"/>
    <n v="122500"/>
    <n v="5500"/>
    <x v="247"/>
    <n v="147000"/>
  </r>
  <r>
    <x v="351"/>
    <x v="1"/>
    <n v="68"/>
    <x v="1"/>
    <x v="1"/>
    <n v="1200"/>
    <n v="81600"/>
    <n v="2500"/>
    <x v="190"/>
    <n v="88400"/>
  </r>
  <r>
    <x v="352"/>
    <x v="2"/>
    <n v="44"/>
    <x v="2"/>
    <x v="2"/>
    <n v="800"/>
    <n v="35200"/>
    <n v="1500"/>
    <x v="159"/>
    <n v="30800"/>
  </r>
  <r>
    <x v="353"/>
    <x v="3"/>
    <n v="63"/>
    <x v="3"/>
    <x v="3"/>
    <n v="1000"/>
    <n v="63000"/>
    <n v="2000"/>
    <x v="227"/>
    <n v="63000"/>
  </r>
  <r>
    <x v="354"/>
    <x v="4"/>
    <n v="83"/>
    <x v="4"/>
    <x v="4"/>
    <n v="1000"/>
    <n v="83000"/>
    <n v="2200"/>
    <x v="41"/>
    <n v="99600"/>
  </r>
  <r>
    <x v="355"/>
    <x v="5"/>
    <n v="50"/>
    <x v="5"/>
    <x v="5"/>
    <n v="600"/>
    <n v="30000"/>
    <n v="1200"/>
    <x v="208"/>
    <n v="30000"/>
  </r>
  <r>
    <x v="356"/>
    <x v="6"/>
    <n v="83"/>
    <x v="6"/>
    <x v="6"/>
    <n v="200"/>
    <n v="16600"/>
    <n v="550"/>
    <x v="248"/>
    <n v="29050"/>
  </r>
  <r>
    <x v="357"/>
    <x v="7"/>
    <n v="90"/>
    <x v="7"/>
    <x v="7"/>
    <n v="550"/>
    <n v="49500"/>
    <n v="1200"/>
    <x v="52"/>
    <n v="58500"/>
  </r>
  <r>
    <x v="358"/>
    <x v="8"/>
    <n v="59"/>
    <x v="8"/>
    <x v="8"/>
    <n v="1000"/>
    <n v="59000"/>
    <n v="2200"/>
    <x v="200"/>
    <n v="70800"/>
  </r>
  <r>
    <x v="359"/>
    <x v="9"/>
    <n v="90"/>
    <x v="9"/>
    <x v="9"/>
    <n v="550"/>
    <n v="49500"/>
    <n v="650"/>
    <x v="96"/>
    <n v="9000"/>
  </r>
  <r>
    <x v="360"/>
    <x v="5"/>
    <n v="38"/>
    <x v="0"/>
    <x v="0"/>
    <n v="600"/>
    <n v="22800"/>
    <n v="1200"/>
    <x v="146"/>
    <n v="22800"/>
  </r>
  <r>
    <x v="361"/>
    <x v="6"/>
    <n v="10"/>
    <x v="1"/>
    <x v="1"/>
    <n v="200"/>
    <n v="2000"/>
    <n v="550"/>
    <x v="105"/>
    <n v="3500"/>
  </r>
  <r>
    <x v="362"/>
    <x v="7"/>
    <n v="48"/>
    <x v="2"/>
    <x v="2"/>
    <n v="550"/>
    <n v="26400"/>
    <n v="1200"/>
    <x v="94"/>
    <n v="31200"/>
  </r>
  <r>
    <x v="363"/>
    <x v="8"/>
    <n v="34"/>
    <x v="3"/>
    <x v="3"/>
    <n v="1000"/>
    <n v="34000"/>
    <n v="2200"/>
    <x v="249"/>
    <n v="40800"/>
  </r>
  <r>
    <x v="364"/>
    <x v="9"/>
    <n v="62"/>
    <x v="4"/>
    <x v="4"/>
    <n v="550"/>
    <n v="34100"/>
    <n v="650"/>
    <x v="250"/>
    <n v="6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625680-31C7-4562-8B31-3E7D3556278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REA">
  <location ref="G24:H35" firstHeaderRow="1" firstDataRow="1" firstDataCol="1"/>
  <pivotFields count="11">
    <pivotField numFmtId="165" showAll="0"/>
    <pivotField showAll="0"/>
    <pivotField showAll="0"/>
    <pivotField axis="axisRow" showAll="0">
      <items count="11">
        <item x="3"/>
        <item x="5"/>
        <item x="7"/>
        <item x="0"/>
        <item x="1"/>
        <item x="6"/>
        <item x="9"/>
        <item x="2"/>
        <item x="8"/>
        <item x="4"/>
        <item t="default"/>
      </items>
    </pivotField>
    <pivotField showAll="0"/>
    <pivotField showAll="0"/>
    <pivotField showAll="0"/>
    <pivotField showAll="0"/>
    <pivotField dataField="1" showAll="0"/>
    <pivotField showAll="0"/>
    <pivotField showAll="0" defaultSubtotal="0"/>
  </pivotFields>
  <rowFields count="1">
    <field x="3"/>
  </rowFields>
  <rowItems count="11">
    <i>
      <x/>
    </i>
    <i>
      <x v="1"/>
    </i>
    <i>
      <x v="2"/>
    </i>
    <i>
      <x v="3"/>
    </i>
    <i>
      <x v="4"/>
    </i>
    <i>
      <x v="5"/>
    </i>
    <i>
      <x v="6"/>
    </i>
    <i>
      <x v="7"/>
    </i>
    <i>
      <x v="8"/>
    </i>
    <i>
      <x v="9"/>
    </i>
    <i t="grand">
      <x/>
    </i>
  </rowItems>
  <colItems count="1">
    <i/>
  </colItems>
  <dataFields count="1">
    <dataField name="TOTAL SALES " fld="8"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330B88-D103-4E0F-A6AE-C0FA34BA647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NAME OF MONTH">
  <location ref="A37:B50" firstHeaderRow="1" firstDataRow="1" firstDataCol="1"/>
  <pivotFields count="11">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0"/>
        <item x="6"/>
        <item x="2"/>
        <item x="4"/>
        <item x="8"/>
        <item x="1"/>
        <item x="7"/>
        <item x="5"/>
        <item x="3"/>
        <item x="9"/>
        <item t="default"/>
      </items>
    </pivotField>
    <pivotField showAll="0"/>
    <pivotField showAll="0">
      <items count="11">
        <item x="3"/>
        <item x="5"/>
        <item x="7"/>
        <item x="0"/>
        <item x="1"/>
        <item x="6"/>
        <item x="9"/>
        <item x="2"/>
        <item x="8"/>
        <item x="4"/>
        <item t="default"/>
      </items>
    </pivotField>
    <pivotField showAll="0">
      <items count="11">
        <item x="6"/>
        <item x="1"/>
        <item x="0"/>
        <item x="5"/>
        <item x="3"/>
        <item x="2"/>
        <item x="8"/>
        <item x="9"/>
        <item x="4"/>
        <item x="7"/>
        <item t="default"/>
      </items>
    </pivotField>
    <pivotField showAll="0"/>
    <pivotField showAll="0"/>
    <pivotField showAll="0"/>
    <pivotField dataField="1" showAll="0">
      <items count="252">
        <item x="169"/>
        <item x="239"/>
        <item x="93"/>
        <item x="104"/>
        <item x="105"/>
        <item x="206"/>
        <item x="15"/>
        <item x="219"/>
        <item x="84"/>
        <item x="163"/>
        <item x="171"/>
        <item x="197"/>
        <item x="87"/>
        <item x="179"/>
        <item x="56"/>
        <item x="83"/>
        <item x="148"/>
        <item x="230"/>
        <item x="123"/>
        <item x="27"/>
        <item x="145"/>
        <item x="192"/>
        <item x="16"/>
        <item x="9"/>
        <item x="26"/>
        <item x="126"/>
        <item x="35"/>
        <item x="246"/>
        <item x="194"/>
        <item x="40"/>
        <item x="70"/>
        <item x="125"/>
        <item x="48"/>
        <item x="129"/>
        <item x="116"/>
        <item x="39"/>
        <item x="162"/>
        <item x="141"/>
        <item x="132"/>
        <item x="73"/>
        <item x="77"/>
        <item x="180"/>
        <item x="237"/>
        <item x="203"/>
        <item x="233"/>
        <item x="128"/>
        <item x="201"/>
        <item x="33"/>
        <item x="172"/>
        <item x="221"/>
        <item x="6"/>
        <item x="110"/>
        <item x="92"/>
        <item x="89"/>
        <item x="71"/>
        <item x="37"/>
        <item x="43"/>
        <item x="185"/>
        <item x="210"/>
        <item x="118"/>
        <item x="34"/>
        <item x="17"/>
        <item x="61"/>
        <item x="28"/>
        <item x="44"/>
        <item x="59"/>
        <item x="63"/>
        <item x="198"/>
        <item x="134"/>
        <item x="60"/>
        <item x="215"/>
        <item x="102"/>
        <item x="13"/>
        <item x="250"/>
        <item x="98"/>
        <item x="187"/>
        <item x="78"/>
        <item x="242"/>
        <item x="85"/>
        <item x="68"/>
        <item x="216"/>
        <item x="124"/>
        <item x="146"/>
        <item x="248"/>
        <item x="156"/>
        <item x="177"/>
        <item x="109"/>
        <item x="58"/>
        <item x="153"/>
        <item x="213"/>
        <item x="19"/>
        <item x="205"/>
        <item x="186"/>
        <item x="23"/>
        <item x="138"/>
        <item x="158"/>
        <item x="211"/>
        <item x="53"/>
        <item x="223"/>
        <item x="36"/>
        <item x="64"/>
        <item x="67"/>
        <item x="45"/>
        <item x="94"/>
        <item x="96"/>
        <item x="131"/>
        <item x="4"/>
        <item x="208"/>
        <item x="46"/>
        <item x="20"/>
        <item x="139"/>
        <item x="66"/>
        <item x="114"/>
        <item x="103"/>
        <item x="143"/>
        <item x="159"/>
        <item x="199"/>
        <item x="150"/>
        <item x="160"/>
        <item x="130"/>
        <item x="82"/>
        <item x="117"/>
        <item x="88"/>
        <item x="168"/>
        <item x="101"/>
        <item x="249"/>
        <item x="224"/>
        <item x="144"/>
        <item x="151"/>
        <item x="135"/>
        <item x="238"/>
        <item x="236"/>
        <item x="21"/>
        <item x="174"/>
        <item x="133"/>
        <item x="175"/>
        <item x="72"/>
        <item x="170"/>
        <item x="178"/>
        <item x="235"/>
        <item x="79"/>
        <item x="99"/>
        <item x="2"/>
        <item x="173"/>
        <item x="136"/>
        <item x="245"/>
        <item x="152"/>
        <item x="209"/>
        <item x="25"/>
        <item x="232"/>
        <item x="91"/>
        <item x="5"/>
        <item x="204"/>
        <item x="42"/>
        <item x="100"/>
        <item x="97"/>
        <item x="115"/>
        <item x="29"/>
        <item x="217"/>
        <item x="69"/>
        <item x="140"/>
        <item x="50"/>
        <item x="62"/>
        <item x="65"/>
        <item x="54"/>
        <item x="107"/>
        <item x="52"/>
        <item x="24"/>
        <item x="229"/>
        <item x="240"/>
        <item x="191"/>
        <item x="183"/>
        <item x="80"/>
        <item x="189"/>
        <item x="18"/>
        <item x="182"/>
        <item x="7"/>
        <item x="121"/>
        <item x="154"/>
        <item x="31"/>
        <item x="38"/>
        <item x="120"/>
        <item x="8"/>
        <item x="227"/>
        <item x="241"/>
        <item x="196"/>
        <item x="200"/>
        <item x="75"/>
        <item x="49"/>
        <item x="176"/>
        <item x="12"/>
        <item x="3"/>
        <item x="22"/>
        <item x="113"/>
        <item x="228"/>
        <item x="112"/>
        <item x="74"/>
        <item x="164"/>
        <item x="90"/>
        <item x="95"/>
        <item x="32"/>
        <item x="127"/>
        <item x="167"/>
        <item x="108"/>
        <item x="86"/>
        <item x="81"/>
        <item x="226"/>
        <item x="190"/>
        <item x="76"/>
        <item x="244"/>
        <item x="161"/>
        <item x="234"/>
        <item x="11"/>
        <item x="41"/>
        <item x="218"/>
        <item x="195"/>
        <item x="225"/>
        <item x="122"/>
        <item x="243"/>
        <item x="30"/>
        <item x="214"/>
        <item x="147"/>
        <item x="222"/>
        <item x="1"/>
        <item x="184"/>
        <item x="193"/>
        <item x="55"/>
        <item x="166"/>
        <item x="207"/>
        <item x="106"/>
        <item x="137"/>
        <item x="14"/>
        <item x="155"/>
        <item x="51"/>
        <item x="142"/>
        <item x="212"/>
        <item x="119"/>
        <item x="231"/>
        <item x="247"/>
        <item x="149"/>
        <item x="57"/>
        <item x="111"/>
        <item x="202"/>
        <item x="47"/>
        <item x="10"/>
        <item x="157"/>
        <item x="165"/>
        <item x="188"/>
        <item x="181"/>
        <item x="220"/>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0"/>
    <field x="0"/>
  </rowFields>
  <rowItems count="13">
    <i>
      <x v="1"/>
    </i>
    <i>
      <x v="2"/>
    </i>
    <i>
      <x v="3"/>
    </i>
    <i>
      <x v="4"/>
    </i>
    <i>
      <x v="5"/>
    </i>
    <i>
      <x v="6"/>
    </i>
    <i>
      <x v="7"/>
    </i>
    <i>
      <x v="8"/>
    </i>
    <i>
      <x v="9"/>
    </i>
    <i>
      <x v="10"/>
    </i>
    <i>
      <x v="11"/>
    </i>
    <i>
      <x v="12"/>
    </i>
    <i t="grand">
      <x/>
    </i>
  </rowItems>
  <colItems count="1">
    <i/>
  </colItems>
  <dataFields count="1">
    <dataField name="TOTAL SALES " fld="8" baseField="10" baseItem="2" numFmtId="164"/>
  </dataFields>
  <formats count="23">
    <format dxfId="28">
      <pivotArea type="all" dataOnly="0" outline="0" fieldPosition="0"/>
    </format>
    <format dxfId="27">
      <pivotArea outline="0" collapsedLevelsAreSubtotals="1" fieldPosition="0"/>
    </format>
    <format dxfId="26">
      <pivotArea field="10" type="button" dataOnly="0" labelOnly="1" outline="0" axis="axisRow" fieldPosition="0"/>
    </format>
    <format dxfId="25">
      <pivotArea dataOnly="0" labelOnly="1" fieldPosition="0">
        <references count="1">
          <reference field="10" count="12">
            <x v="1"/>
            <x v="2"/>
            <x v="3"/>
            <x v="4"/>
            <x v="5"/>
            <x v="6"/>
            <x v="7"/>
            <x v="8"/>
            <x v="9"/>
            <x v="10"/>
            <x v="11"/>
            <x v="12"/>
          </reference>
        </references>
      </pivotArea>
    </format>
    <format dxfId="24">
      <pivotArea dataOnly="0" labelOnly="1" grandRow="1" outline="0" fieldPosition="0"/>
    </format>
    <format dxfId="23">
      <pivotArea dataOnly="0" labelOnly="1" outline="0" axis="axisValues" fieldPosition="0"/>
    </format>
    <format dxfId="22">
      <pivotArea field="10" type="button" dataOnly="0" labelOnly="1" outline="0" axis="axisRow" fieldPosition="0"/>
    </format>
    <format dxfId="21">
      <pivotArea dataOnly="0" labelOnly="1" outline="0" axis="axisValues" fieldPosition="0"/>
    </format>
    <format dxfId="20">
      <pivotArea outline="0" collapsedLevelsAreSubtotals="1" fieldPosition="0"/>
    </format>
    <format dxfId="19">
      <pivotArea outline="0" collapsedLevelsAreSubtotals="1" fieldPosition="0"/>
    </format>
    <format dxfId="18">
      <pivotArea dataOnly="0" labelOnly="1" fieldPosition="0">
        <references count="1">
          <reference field="10" count="12">
            <x v="1"/>
            <x v="2"/>
            <x v="3"/>
            <x v="4"/>
            <x v="5"/>
            <x v="6"/>
            <x v="7"/>
            <x v="8"/>
            <x v="9"/>
            <x v="10"/>
            <x v="11"/>
            <x v="12"/>
          </reference>
        </references>
      </pivotArea>
    </format>
    <format dxfId="17">
      <pivotArea dataOnly="0" labelOnly="1" grandRow="1" outline="0" fieldPosition="0"/>
    </format>
    <format dxfId="16">
      <pivotArea type="all" dataOnly="0" outline="0" fieldPosition="0"/>
    </format>
    <format dxfId="15">
      <pivotArea outline="0" collapsedLevelsAreSubtotals="1" fieldPosition="0"/>
    </format>
    <format dxfId="14">
      <pivotArea outline="0" collapsedLevelsAreSubtotals="1" fieldPosition="0"/>
    </format>
    <format dxfId="13">
      <pivotArea dataOnly="0" labelOnly="1" fieldPosition="0">
        <references count="1">
          <reference field="10" count="12">
            <x v="1"/>
            <x v="2"/>
            <x v="3"/>
            <x v="4"/>
            <x v="5"/>
            <x v="6"/>
            <x v="7"/>
            <x v="8"/>
            <x v="9"/>
            <x v="10"/>
            <x v="11"/>
            <x v="12"/>
          </reference>
        </references>
      </pivotArea>
    </format>
    <format dxfId="12">
      <pivotArea dataOnly="0" labelOnly="1" grandRow="1" outline="0" fieldPosition="0"/>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12">
            <x v="1"/>
            <x v="2"/>
            <x v="3"/>
            <x v="4"/>
            <x v="5"/>
            <x v="6"/>
            <x v="7"/>
            <x v="8"/>
            <x v="9"/>
            <x v="10"/>
            <x v="11"/>
            <x v="12"/>
          </reference>
        </references>
      </pivotArea>
    </format>
    <format dxfId="7">
      <pivotArea dataOnly="0" labelOnly="1" grandRow="1" outline="0" fieldPosition="0"/>
    </format>
    <format dxfId="6">
      <pivotArea dataOnly="0" labelOnly="1" outline="0" axis="axisValues" fieldPosition="0"/>
    </format>
  </formats>
  <chartFormats count="4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10" count="1" selected="0">
            <x v="1"/>
          </reference>
        </references>
      </pivotArea>
    </chartFormat>
    <chartFormat chart="9" format="30">
      <pivotArea type="data" outline="0" fieldPosition="0">
        <references count="2">
          <reference field="4294967294" count="1" selected="0">
            <x v="0"/>
          </reference>
          <reference field="10" count="1" selected="0">
            <x v="2"/>
          </reference>
        </references>
      </pivotArea>
    </chartFormat>
    <chartFormat chart="9" format="31">
      <pivotArea type="data" outline="0" fieldPosition="0">
        <references count="2">
          <reference field="4294967294" count="1" selected="0">
            <x v="0"/>
          </reference>
          <reference field="10" count="1" selected="0">
            <x v="3"/>
          </reference>
        </references>
      </pivotArea>
    </chartFormat>
    <chartFormat chart="9" format="32">
      <pivotArea type="data" outline="0" fieldPosition="0">
        <references count="2">
          <reference field="4294967294" count="1" selected="0">
            <x v="0"/>
          </reference>
          <reference field="10" count="1" selected="0">
            <x v="4"/>
          </reference>
        </references>
      </pivotArea>
    </chartFormat>
    <chartFormat chart="9" format="33">
      <pivotArea type="data" outline="0" fieldPosition="0">
        <references count="2">
          <reference field="4294967294" count="1" selected="0">
            <x v="0"/>
          </reference>
          <reference field="10" count="1" selected="0">
            <x v="5"/>
          </reference>
        </references>
      </pivotArea>
    </chartFormat>
    <chartFormat chart="9" format="34">
      <pivotArea type="data" outline="0" fieldPosition="0">
        <references count="2">
          <reference field="4294967294" count="1" selected="0">
            <x v="0"/>
          </reference>
          <reference field="10" count="1" selected="0">
            <x v="6"/>
          </reference>
        </references>
      </pivotArea>
    </chartFormat>
    <chartFormat chart="9" format="35">
      <pivotArea type="data" outline="0" fieldPosition="0">
        <references count="2">
          <reference field="4294967294" count="1" selected="0">
            <x v="0"/>
          </reference>
          <reference field="10" count="1" selected="0">
            <x v="7"/>
          </reference>
        </references>
      </pivotArea>
    </chartFormat>
    <chartFormat chart="9" format="36">
      <pivotArea type="data" outline="0" fieldPosition="0">
        <references count="2">
          <reference field="4294967294" count="1" selected="0">
            <x v="0"/>
          </reference>
          <reference field="10" count="1" selected="0">
            <x v="8"/>
          </reference>
        </references>
      </pivotArea>
    </chartFormat>
    <chartFormat chart="9" format="37">
      <pivotArea type="data" outline="0" fieldPosition="0">
        <references count="2">
          <reference field="4294967294" count="1" selected="0">
            <x v="0"/>
          </reference>
          <reference field="10" count="1" selected="0">
            <x v="9"/>
          </reference>
        </references>
      </pivotArea>
    </chartFormat>
    <chartFormat chart="9" format="38">
      <pivotArea type="data" outline="0" fieldPosition="0">
        <references count="2">
          <reference field="4294967294" count="1" selected="0">
            <x v="0"/>
          </reference>
          <reference field="10" count="1" selected="0">
            <x v="10"/>
          </reference>
        </references>
      </pivotArea>
    </chartFormat>
    <chartFormat chart="9" format="39">
      <pivotArea type="data" outline="0" fieldPosition="0">
        <references count="2">
          <reference field="4294967294" count="1" selected="0">
            <x v="0"/>
          </reference>
          <reference field="10" count="1" selected="0">
            <x v="11"/>
          </reference>
        </references>
      </pivotArea>
    </chartFormat>
    <chartFormat chart="9" format="40">
      <pivotArea type="data" outline="0" fieldPosition="0">
        <references count="2">
          <reference field="4294967294" count="1" selected="0">
            <x v="0"/>
          </reference>
          <reference field="10" count="1" selected="0">
            <x v="12"/>
          </reference>
        </references>
      </pivotArea>
    </chartFormat>
    <chartFormat chart="11" format="41" series="1">
      <pivotArea type="data" outline="0" fieldPosition="0">
        <references count="1">
          <reference field="4294967294" count="1" selected="0">
            <x v="0"/>
          </reference>
        </references>
      </pivotArea>
    </chartFormat>
    <chartFormat chart="11" format="42">
      <pivotArea type="data" outline="0" fieldPosition="0">
        <references count="2">
          <reference field="4294967294" count="1" selected="0">
            <x v="0"/>
          </reference>
          <reference field="10" count="1" selected="0">
            <x v="1"/>
          </reference>
        </references>
      </pivotArea>
    </chartFormat>
    <chartFormat chart="11" format="43">
      <pivotArea type="data" outline="0" fieldPosition="0">
        <references count="2">
          <reference field="4294967294" count="1" selected="0">
            <x v="0"/>
          </reference>
          <reference field="10" count="1" selected="0">
            <x v="2"/>
          </reference>
        </references>
      </pivotArea>
    </chartFormat>
    <chartFormat chart="11" format="44">
      <pivotArea type="data" outline="0" fieldPosition="0">
        <references count="2">
          <reference field="4294967294" count="1" selected="0">
            <x v="0"/>
          </reference>
          <reference field="10" count="1" selected="0">
            <x v="3"/>
          </reference>
        </references>
      </pivotArea>
    </chartFormat>
    <chartFormat chart="11" format="45">
      <pivotArea type="data" outline="0" fieldPosition="0">
        <references count="2">
          <reference field="4294967294" count="1" selected="0">
            <x v="0"/>
          </reference>
          <reference field="10" count="1" selected="0">
            <x v="4"/>
          </reference>
        </references>
      </pivotArea>
    </chartFormat>
    <chartFormat chart="11" format="46">
      <pivotArea type="data" outline="0" fieldPosition="0">
        <references count="2">
          <reference field="4294967294" count="1" selected="0">
            <x v="0"/>
          </reference>
          <reference field="10" count="1" selected="0">
            <x v="5"/>
          </reference>
        </references>
      </pivotArea>
    </chartFormat>
    <chartFormat chart="11" format="47">
      <pivotArea type="data" outline="0" fieldPosition="0">
        <references count="2">
          <reference field="4294967294" count="1" selected="0">
            <x v="0"/>
          </reference>
          <reference field="10" count="1" selected="0">
            <x v="6"/>
          </reference>
        </references>
      </pivotArea>
    </chartFormat>
    <chartFormat chart="11" format="48">
      <pivotArea type="data" outline="0" fieldPosition="0">
        <references count="2">
          <reference field="4294967294" count="1" selected="0">
            <x v="0"/>
          </reference>
          <reference field="10" count="1" selected="0">
            <x v="7"/>
          </reference>
        </references>
      </pivotArea>
    </chartFormat>
    <chartFormat chart="11" format="49">
      <pivotArea type="data" outline="0" fieldPosition="0">
        <references count="2">
          <reference field="4294967294" count="1" selected="0">
            <x v="0"/>
          </reference>
          <reference field="10" count="1" selected="0">
            <x v="8"/>
          </reference>
        </references>
      </pivotArea>
    </chartFormat>
    <chartFormat chart="11" format="50">
      <pivotArea type="data" outline="0" fieldPosition="0">
        <references count="2">
          <reference field="4294967294" count="1" selected="0">
            <x v="0"/>
          </reference>
          <reference field="10" count="1" selected="0">
            <x v="9"/>
          </reference>
        </references>
      </pivotArea>
    </chartFormat>
    <chartFormat chart="11" format="51">
      <pivotArea type="data" outline="0" fieldPosition="0">
        <references count="2">
          <reference field="4294967294" count="1" selected="0">
            <x v="0"/>
          </reference>
          <reference field="10" count="1" selected="0">
            <x v="10"/>
          </reference>
        </references>
      </pivotArea>
    </chartFormat>
    <chartFormat chart="11" format="52">
      <pivotArea type="data" outline="0" fieldPosition="0">
        <references count="2">
          <reference field="4294967294" count="1" selected="0">
            <x v="0"/>
          </reference>
          <reference field="10" count="1" selected="0">
            <x v="11"/>
          </reference>
        </references>
      </pivotArea>
    </chartFormat>
    <chartFormat chart="11" format="53">
      <pivotArea type="data" outline="0" fieldPosition="0">
        <references count="2">
          <reference field="4294967294" count="1" selected="0">
            <x v="0"/>
          </reference>
          <reference field="10" count="1" selected="0">
            <x v="12"/>
          </reference>
        </references>
      </pivotArea>
    </chartFormat>
    <chartFormat chart="12" format="54" series="1">
      <pivotArea type="data" outline="0" fieldPosition="0">
        <references count="1">
          <reference field="4294967294" count="1" selected="0">
            <x v="0"/>
          </reference>
        </references>
      </pivotArea>
    </chartFormat>
    <chartFormat chart="12" format="55">
      <pivotArea type="data" outline="0" fieldPosition="0">
        <references count="2">
          <reference field="4294967294" count="1" selected="0">
            <x v="0"/>
          </reference>
          <reference field="10" count="1" selected="0">
            <x v="1"/>
          </reference>
        </references>
      </pivotArea>
    </chartFormat>
    <chartFormat chart="12" format="56">
      <pivotArea type="data" outline="0" fieldPosition="0">
        <references count="2">
          <reference field="4294967294" count="1" selected="0">
            <x v="0"/>
          </reference>
          <reference field="10" count="1" selected="0">
            <x v="2"/>
          </reference>
        </references>
      </pivotArea>
    </chartFormat>
    <chartFormat chart="12" format="57">
      <pivotArea type="data" outline="0" fieldPosition="0">
        <references count="2">
          <reference field="4294967294" count="1" selected="0">
            <x v="0"/>
          </reference>
          <reference field="10" count="1" selected="0">
            <x v="3"/>
          </reference>
        </references>
      </pivotArea>
    </chartFormat>
    <chartFormat chart="12" format="58">
      <pivotArea type="data" outline="0" fieldPosition="0">
        <references count="2">
          <reference field="4294967294" count="1" selected="0">
            <x v="0"/>
          </reference>
          <reference field="10" count="1" selected="0">
            <x v="4"/>
          </reference>
        </references>
      </pivotArea>
    </chartFormat>
    <chartFormat chart="12" format="59">
      <pivotArea type="data" outline="0" fieldPosition="0">
        <references count="2">
          <reference field="4294967294" count="1" selected="0">
            <x v="0"/>
          </reference>
          <reference field="10" count="1" selected="0">
            <x v="5"/>
          </reference>
        </references>
      </pivotArea>
    </chartFormat>
    <chartFormat chart="12" format="60">
      <pivotArea type="data" outline="0" fieldPosition="0">
        <references count="2">
          <reference field="4294967294" count="1" selected="0">
            <x v="0"/>
          </reference>
          <reference field="10" count="1" selected="0">
            <x v="6"/>
          </reference>
        </references>
      </pivotArea>
    </chartFormat>
    <chartFormat chart="12" format="61">
      <pivotArea type="data" outline="0" fieldPosition="0">
        <references count="2">
          <reference field="4294967294" count="1" selected="0">
            <x v="0"/>
          </reference>
          <reference field="10" count="1" selected="0">
            <x v="7"/>
          </reference>
        </references>
      </pivotArea>
    </chartFormat>
    <chartFormat chart="12" format="62">
      <pivotArea type="data" outline="0" fieldPosition="0">
        <references count="2">
          <reference field="4294967294" count="1" selected="0">
            <x v="0"/>
          </reference>
          <reference field="10" count="1" selected="0">
            <x v="8"/>
          </reference>
        </references>
      </pivotArea>
    </chartFormat>
    <chartFormat chart="12" format="63">
      <pivotArea type="data" outline="0" fieldPosition="0">
        <references count="2">
          <reference field="4294967294" count="1" selected="0">
            <x v="0"/>
          </reference>
          <reference field="10" count="1" selected="0">
            <x v="9"/>
          </reference>
        </references>
      </pivotArea>
    </chartFormat>
    <chartFormat chart="12" format="64">
      <pivotArea type="data" outline="0" fieldPosition="0">
        <references count="2">
          <reference field="4294967294" count="1" selected="0">
            <x v="0"/>
          </reference>
          <reference field="10" count="1" selected="0">
            <x v="10"/>
          </reference>
        </references>
      </pivotArea>
    </chartFormat>
    <chartFormat chart="12" format="65">
      <pivotArea type="data" outline="0" fieldPosition="0">
        <references count="2">
          <reference field="4294967294" count="1" selected="0">
            <x v="0"/>
          </reference>
          <reference field="10" count="1" selected="0">
            <x v="11"/>
          </reference>
        </references>
      </pivotArea>
    </chartFormat>
    <chartFormat chart="12" format="66">
      <pivotArea type="data" outline="0" fieldPosition="0">
        <references count="2">
          <reference field="4294967294" count="1" selected="0">
            <x v="0"/>
          </reference>
          <reference field="10" count="1" selected="0">
            <x v="1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5DF54-E160-446D-9CE4-17B4023EFDB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REA">
  <location ref="G7:K18" firstHeaderRow="0" firstDataRow="1" firstDataCol="1" rowPageCount="3" colPageCount="1"/>
  <pivotFields count="11">
    <pivotField numFmtId="165" showAll="0"/>
    <pivotField axis="axisPage" multipleItemSelectionAllowed="1" showAll="0">
      <items count="11">
        <item x="0"/>
        <item x="6"/>
        <item x="2"/>
        <item x="4"/>
        <item x="8"/>
        <item x="1"/>
        <item x="7"/>
        <item x="5"/>
        <item x="3"/>
        <item x="9"/>
        <item t="default"/>
      </items>
    </pivotField>
    <pivotField dataField="1" showAll="0"/>
    <pivotField axis="axisRow" showAll="0">
      <items count="11">
        <item x="3"/>
        <item x="5"/>
        <item x="7"/>
        <item x="0"/>
        <item x="1"/>
        <item x="6"/>
        <item x="9"/>
        <item x="2"/>
        <item x="8"/>
        <item x="4"/>
        <item t="default"/>
      </items>
    </pivotField>
    <pivotField axis="axisPage" showAll="0">
      <items count="11">
        <item x="6"/>
        <item x="1"/>
        <item x="0"/>
        <item x="5"/>
        <item x="3"/>
        <item x="2"/>
        <item x="8"/>
        <item x="9"/>
        <item x="4"/>
        <item x="7"/>
        <item t="default"/>
      </items>
    </pivotField>
    <pivotField showAll="0"/>
    <pivotField dataField="1" showAll="0"/>
    <pivotField showAll="0"/>
    <pivotField dataField="1" showAll="0"/>
    <pivotField dataField="1" showAll="0"/>
    <pivotField axis="axisPage"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Fields count="1">
    <field x="-2"/>
  </colFields>
  <colItems count="4">
    <i>
      <x/>
    </i>
    <i i="1">
      <x v="1"/>
    </i>
    <i i="2">
      <x v="2"/>
    </i>
    <i i="3">
      <x v="3"/>
    </i>
  </colItems>
  <pageFields count="3">
    <pageField fld="10" hier="-1"/>
    <pageField fld="1" hier="-1"/>
    <pageField fld="4" hier="-1"/>
  </pageFields>
  <dataFields count="4">
    <dataField name="TOTAL SALES " fld="8" baseField="0" baseItem="0" numFmtId="164"/>
    <dataField name="TOTAL QTY" fld="2" baseField="0" baseItem="0"/>
    <dataField name="TOTAL PROFIT " fld="9" baseField="0" baseItem="0" numFmtId="164"/>
    <dataField name="TOTAL COST " fld="6" baseField="0" baseItem="0" numFmtId="164"/>
  </dataFields>
  <formats count="15">
    <format dxfId="43">
      <pivotArea field="3" grandRow="1" outline="0" collapsedLevelsAreSubtotals="1" axis="axisRow" fieldPosition="0">
        <references count="1">
          <reference field="4294967294" count="1" selected="0">
            <x v="0"/>
          </reference>
        </references>
      </pivotArea>
    </format>
    <format dxfId="42">
      <pivotArea field="3" grandRow="1" outline="0" collapsedLevelsAreSubtotals="1" axis="axisRow" fieldPosition="0">
        <references count="1">
          <reference field="4294967294" count="1" selected="0">
            <x v="2"/>
          </reference>
        </references>
      </pivotArea>
    </format>
    <format dxfId="41">
      <pivotArea field="3" grandRow="1" outline="0" collapsedLevelsAreSubtotals="1" axis="axisRow" fieldPosition="0">
        <references count="1">
          <reference field="4294967294" count="1" selected="0">
            <x v="3"/>
          </reference>
        </references>
      </pivotArea>
    </format>
    <format dxfId="40">
      <pivotArea field="3" grandRow="1" outline="0" collapsedLevelsAreSubtotals="1" axis="axisRow" fieldPosition="0">
        <references count="1">
          <reference field="4294967294" count="1" selected="0">
            <x v="1"/>
          </reference>
        </references>
      </pivotArea>
    </format>
    <format dxfId="3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2" selected="0">
            <x v="2"/>
            <x v="3"/>
          </reference>
        </references>
      </pivotArea>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fieldPosition="0">
        <references count="1">
          <reference field="4294967294" count="4">
            <x v="0"/>
            <x v="1"/>
            <x v="2"/>
            <x v="3"/>
          </reference>
        </references>
      </pivotArea>
    </format>
    <format dxfId="31">
      <pivotArea dataOnly="0" labelOnly="1" grandRow="1" outline="0" fieldPosition="0"/>
    </format>
    <format dxfId="30">
      <pivotArea dataOnly="0" labelOnly="1" grandRow="1" outline="0" fieldPosition="0"/>
    </format>
    <format dxfId="29">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AB6F9-D33D-468E-A507-701D9572C8C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DEALER NAME">
  <location ref="D37:E48" firstHeaderRow="1" firstDataRow="1" firstDataCol="1"/>
  <pivotFields count="11">
    <pivotField numFmtId="165" showAll="0"/>
    <pivotField showAll="0">
      <items count="11">
        <item x="0"/>
        <item x="6"/>
        <item x="2"/>
        <item x="4"/>
        <item x="8"/>
        <item x="1"/>
        <item x="7"/>
        <item x="5"/>
        <item x="3"/>
        <item x="9"/>
        <item t="default"/>
      </items>
    </pivotField>
    <pivotField showAll="0"/>
    <pivotField showAll="0">
      <items count="11">
        <item x="3"/>
        <item x="5"/>
        <item x="7"/>
        <item x="0"/>
        <item x="1"/>
        <item x="6"/>
        <item x="9"/>
        <item x="2"/>
        <item x="8"/>
        <item x="4"/>
        <item t="default"/>
      </items>
    </pivotField>
    <pivotField axis="axisRow" showAll="0">
      <items count="11">
        <item x="6"/>
        <item x="1"/>
        <item x="0"/>
        <item x="5"/>
        <item x="3"/>
        <item x="2"/>
        <item x="8"/>
        <item x="9"/>
        <item x="4"/>
        <item x="7"/>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TOTAL SALES " fld="8" baseField="0" baseItem="0" numFmtId="164"/>
  </dataFields>
  <formats count="25">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fieldPosition="0">
        <references count="1">
          <reference field="4" count="0"/>
        </references>
      </pivotArea>
    </format>
    <format dxfId="64">
      <pivotArea dataOnly="0" labelOnly="1" grandRow="1" outline="0" fieldPosition="0"/>
    </format>
    <format dxfId="63">
      <pivotArea dataOnly="0" labelOnly="1" outline="0" axis="axisValues"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4" type="button" dataOnly="0" labelOnly="1" outline="0" axis="axisRow" fieldPosition="0"/>
    </format>
    <format dxfId="58">
      <pivotArea dataOnly="0" labelOnly="1" fieldPosition="0">
        <references count="1">
          <reference field="4"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chartFormats count="33">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4" count="1" selected="0">
            <x v="0"/>
          </reference>
        </references>
      </pivotArea>
    </chartFormat>
    <chartFormat chart="4" format="26">
      <pivotArea type="data" outline="0" fieldPosition="0">
        <references count="2">
          <reference field="4294967294" count="1" selected="0">
            <x v="0"/>
          </reference>
          <reference field="4" count="1" selected="0">
            <x v="1"/>
          </reference>
        </references>
      </pivotArea>
    </chartFormat>
    <chartFormat chart="4" format="27">
      <pivotArea type="data" outline="0" fieldPosition="0">
        <references count="2">
          <reference field="4294967294" count="1" selected="0">
            <x v="0"/>
          </reference>
          <reference field="4" count="1" selected="0">
            <x v="2"/>
          </reference>
        </references>
      </pivotArea>
    </chartFormat>
    <chartFormat chart="4" format="28">
      <pivotArea type="data" outline="0" fieldPosition="0">
        <references count="2">
          <reference field="4294967294" count="1" selected="0">
            <x v="0"/>
          </reference>
          <reference field="4" count="1" selected="0">
            <x v="3"/>
          </reference>
        </references>
      </pivotArea>
    </chartFormat>
    <chartFormat chart="4" format="29">
      <pivotArea type="data" outline="0" fieldPosition="0">
        <references count="2">
          <reference field="4294967294" count="1" selected="0">
            <x v="0"/>
          </reference>
          <reference field="4" count="1" selected="0">
            <x v="4"/>
          </reference>
        </references>
      </pivotArea>
    </chartFormat>
    <chartFormat chart="4" format="30">
      <pivotArea type="data" outline="0" fieldPosition="0">
        <references count="2">
          <reference field="4294967294" count="1" selected="0">
            <x v="0"/>
          </reference>
          <reference field="4" count="1" selected="0">
            <x v="5"/>
          </reference>
        </references>
      </pivotArea>
    </chartFormat>
    <chartFormat chart="4" format="31">
      <pivotArea type="data" outline="0" fieldPosition="0">
        <references count="2">
          <reference field="4294967294" count="1" selected="0">
            <x v="0"/>
          </reference>
          <reference field="4" count="1" selected="0">
            <x v="6"/>
          </reference>
        </references>
      </pivotArea>
    </chartFormat>
    <chartFormat chart="4" format="32">
      <pivotArea type="data" outline="0" fieldPosition="0">
        <references count="2">
          <reference field="4294967294" count="1" selected="0">
            <x v="0"/>
          </reference>
          <reference field="4" count="1" selected="0">
            <x v="7"/>
          </reference>
        </references>
      </pivotArea>
    </chartFormat>
    <chartFormat chart="4" format="33">
      <pivotArea type="data" outline="0" fieldPosition="0">
        <references count="2">
          <reference field="4294967294" count="1" selected="0">
            <x v="0"/>
          </reference>
          <reference field="4" count="1" selected="0">
            <x v="8"/>
          </reference>
        </references>
      </pivotArea>
    </chartFormat>
    <chartFormat chart="4" format="34">
      <pivotArea type="data" outline="0" fieldPosition="0">
        <references count="2">
          <reference field="4294967294" count="1" selected="0">
            <x v="0"/>
          </reference>
          <reference field="4" count="1" selected="0">
            <x v="9"/>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4" count="1" selected="0">
            <x v="0"/>
          </reference>
        </references>
      </pivotArea>
    </chartFormat>
    <chartFormat chart="6" format="37">
      <pivotArea type="data" outline="0" fieldPosition="0">
        <references count="2">
          <reference field="4294967294" count="1" selected="0">
            <x v="0"/>
          </reference>
          <reference field="4" count="1" selected="0">
            <x v="1"/>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4"/>
          </reference>
        </references>
      </pivotArea>
    </chartFormat>
    <chartFormat chart="6" format="41">
      <pivotArea type="data" outline="0" fieldPosition="0">
        <references count="2">
          <reference field="4294967294" count="1" selected="0">
            <x v="0"/>
          </reference>
          <reference field="4" count="1" selected="0">
            <x v="5"/>
          </reference>
        </references>
      </pivotArea>
    </chartFormat>
    <chartFormat chart="6" format="42">
      <pivotArea type="data" outline="0" fieldPosition="0">
        <references count="2">
          <reference field="4294967294" count="1" selected="0">
            <x v="0"/>
          </reference>
          <reference field="4" count="1" selected="0">
            <x v="6"/>
          </reference>
        </references>
      </pivotArea>
    </chartFormat>
    <chartFormat chart="6" format="43">
      <pivotArea type="data" outline="0" fieldPosition="0">
        <references count="2">
          <reference field="4294967294" count="1" selected="0">
            <x v="0"/>
          </reference>
          <reference field="4" count="1" selected="0">
            <x v="7"/>
          </reference>
        </references>
      </pivotArea>
    </chartFormat>
    <chartFormat chart="6" format="44">
      <pivotArea type="data" outline="0" fieldPosition="0">
        <references count="2">
          <reference field="4294967294" count="1" selected="0">
            <x v="0"/>
          </reference>
          <reference field="4" count="1" selected="0">
            <x v="8"/>
          </reference>
        </references>
      </pivotArea>
    </chartFormat>
    <chartFormat chart="6" format="45">
      <pivotArea type="data" outline="0" fieldPosition="0">
        <references count="2">
          <reference field="4294967294" count="1" selected="0">
            <x v="0"/>
          </reference>
          <reference field="4" count="1" selected="0">
            <x v="9"/>
          </reference>
        </references>
      </pivotArea>
    </chartFormat>
    <chartFormat chart="7" format="46" series="1">
      <pivotArea type="data" outline="0" fieldPosition="0">
        <references count="1">
          <reference field="4294967294" count="1" selected="0">
            <x v="0"/>
          </reference>
        </references>
      </pivotArea>
    </chartFormat>
    <chartFormat chart="7" format="47">
      <pivotArea type="data" outline="0" fieldPosition="0">
        <references count="2">
          <reference field="4294967294" count="1" selected="0">
            <x v="0"/>
          </reference>
          <reference field="4" count="1" selected="0">
            <x v="0"/>
          </reference>
        </references>
      </pivotArea>
    </chartFormat>
    <chartFormat chart="7" format="48">
      <pivotArea type="data" outline="0" fieldPosition="0">
        <references count="2">
          <reference field="4294967294" count="1" selected="0">
            <x v="0"/>
          </reference>
          <reference field="4" count="1" selected="0">
            <x v="1"/>
          </reference>
        </references>
      </pivotArea>
    </chartFormat>
    <chartFormat chart="7" format="49">
      <pivotArea type="data" outline="0" fieldPosition="0">
        <references count="2">
          <reference field="4294967294" count="1" selected="0">
            <x v="0"/>
          </reference>
          <reference field="4" count="1" selected="0">
            <x v="2"/>
          </reference>
        </references>
      </pivotArea>
    </chartFormat>
    <chartFormat chart="7" format="50">
      <pivotArea type="data" outline="0" fieldPosition="0">
        <references count="2">
          <reference field="4294967294" count="1" selected="0">
            <x v="0"/>
          </reference>
          <reference field="4" count="1" selected="0">
            <x v="3"/>
          </reference>
        </references>
      </pivotArea>
    </chartFormat>
    <chartFormat chart="7" format="51">
      <pivotArea type="data" outline="0" fieldPosition="0">
        <references count="2">
          <reference field="4294967294" count="1" selected="0">
            <x v="0"/>
          </reference>
          <reference field="4" count="1" selected="0">
            <x v="4"/>
          </reference>
        </references>
      </pivotArea>
    </chartFormat>
    <chartFormat chart="7" format="52">
      <pivotArea type="data" outline="0" fieldPosition="0">
        <references count="2">
          <reference field="4294967294" count="1" selected="0">
            <x v="0"/>
          </reference>
          <reference field="4" count="1" selected="0">
            <x v="5"/>
          </reference>
        </references>
      </pivotArea>
    </chartFormat>
    <chartFormat chart="7" format="53">
      <pivotArea type="data" outline="0" fieldPosition="0">
        <references count="2">
          <reference field="4294967294" count="1" selected="0">
            <x v="0"/>
          </reference>
          <reference field="4" count="1" selected="0">
            <x v="6"/>
          </reference>
        </references>
      </pivotArea>
    </chartFormat>
    <chartFormat chart="7" format="54">
      <pivotArea type="data" outline="0" fieldPosition="0">
        <references count="2">
          <reference field="4294967294" count="1" selected="0">
            <x v="0"/>
          </reference>
          <reference field="4" count="1" selected="0">
            <x v="7"/>
          </reference>
        </references>
      </pivotArea>
    </chartFormat>
    <chartFormat chart="7" format="55">
      <pivotArea type="data" outline="0" fieldPosition="0">
        <references count="2">
          <reference field="4294967294" count="1" selected="0">
            <x v="0"/>
          </reference>
          <reference field="4" count="1" selected="0">
            <x v="8"/>
          </reference>
        </references>
      </pivotArea>
    </chartFormat>
    <chartFormat chart="7" format="56">
      <pivotArea type="data" outline="0" fieldPosition="0">
        <references count="2">
          <reference field="4294967294" count="1" selected="0">
            <x v="0"/>
          </reference>
          <reference field="4" count="1" selected="0">
            <x v="9"/>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79364E-6290-4728-9C46-6DF6C513D4F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REA">
  <location ref="G37:H48" firstHeaderRow="1" firstDataRow="1" firstDataCol="1"/>
  <pivotFields count="11">
    <pivotField numFmtId="165" showAll="0"/>
    <pivotField showAll="0"/>
    <pivotField showAll="0"/>
    <pivotField axis="axisRow" showAll="0">
      <items count="11">
        <item x="3"/>
        <item x="5"/>
        <item x="7"/>
        <item x="0"/>
        <item x="1"/>
        <item x="6"/>
        <item x="9"/>
        <item x="2"/>
        <item x="8"/>
        <item x="4"/>
        <item t="default"/>
      </items>
    </pivotField>
    <pivotField showAll="0"/>
    <pivotField showAll="0"/>
    <pivotField showAll="0"/>
    <pivotField showAll="0"/>
    <pivotField showAll="0"/>
    <pivotField dataField="1" showAll="0"/>
    <pivotField showAll="0" defaultSubtotal="0"/>
  </pivotFields>
  <rowFields count="1">
    <field x="3"/>
  </rowFields>
  <rowItems count="11">
    <i>
      <x/>
    </i>
    <i>
      <x v="1"/>
    </i>
    <i>
      <x v="2"/>
    </i>
    <i>
      <x v="3"/>
    </i>
    <i>
      <x v="4"/>
    </i>
    <i>
      <x v="5"/>
    </i>
    <i>
      <x v="6"/>
    </i>
    <i>
      <x v="7"/>
    </i>
    <i>
      <x v="8"/>
    </i>
    <i>
      <x v="9"/>
    </i>
    <i t="grand">
      <x/>
    </i>
  </rowItems>
  <colItems count="1">
    <i/>
  </colItems>
  <dataFields count="1">
    <dataField name="TOTAL PROFIT " fld="9" baseField="0" baseItem="0"/>
  </dataFields>
  <formats count="6">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grandRow="1" outline="0" fieldPosition="0"/>
    </format>
    <format dxfId="69">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DD1173-A132-43E1-B31C-B0ABC130788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REA">
  <location ref="J37:K48" firstHeaderRow="1" firstDataRow="1" firstDataCol="1"/>
  <pivotFields count="11">
    <pivotField numFmtId="165" showAll="0"/>
    <pivotField showAll="0">
      <items count="11">
        <item x="0"/>
        <item x="6"/>
        <item x="2"/>
        <item x="4"/>
        <item x="8"/>
        <item x="1"/>
        <item x="7"/>
        <item x="5"/>
        <item x="3"/>
        <item x="9"/>
        <item t="default"/>
      </items>
    </pivotField>
    <pivotField dataField="1" showAll="0"/>
    <pivotField axis="axisRow" showAll="0">
      <items count="11">
        <item x="3"/>
        <item x="5"/>
        <item x="7"/>
        <item x="0"/>
        <item x="1"/>
        <item x="6"/>
        <item x="9"/>
        <item x="2"/>
        <item x="8"/>
        <item x="4"/>
        <item t="default"/>
      </items>
    </pivotField>
    <pivotField showAll="0">
      <items count="11">
        <item x="6"/>
        <item x="1"/>
        <item x="0"/>
        <item x="5"/>
        <item x="3"/>
        <item x="2"/>
        <item x="8"/>
        <item x="9"/>
        <item x="4"/>
        <item x="7"/>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Items count="1">
    <i/>
  </colItems>
  <dataFields count="1">
    <dataField name="TOTAL QTY" fld="2" baseField="0" baseItem="0"/>
  </dataFields>
  <formats count="6">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9C8F85-1E0C-4642-AD7B-3A3CA9AACE4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AREA NAME">
  <location ref="D24:E35" firstHeaderRow="1" firstDataRow="1" firstDataCol="1"/>
  <pivotFields count="11">
    <pivotField numFmtId="165" showAll="0"/>
    <pivotField showAll="0">
      <items count="11">
        <item x="0"/>
        <item x="6"/>
        <item x="2"/>
        <item x="4"/>
        <item x="8"/>
        <item x="1"/>
        <item x="7"/>
        <item x="5"/>
        <item x="3"/>
        <item x="9"/>
        <item t="default"/>
      </items>
    </pivotField>
    <pivotField showAll="0"/>
    <pivotField axis="axisRow" showAll="0">
      <items count="11">
        <item x="3"/>
        <item x="5"/>
        <item x="7"/>
        <item x="0"/>
        <item x="1"/>
        <item x="6"/>
        <item x="9"/>
        <item x="2"/>
        <item x="8"/>
        <item x="4"/>
        <item t="default"/>
      </items>
    </pivotField>
    <pivotField showAll="0">
      <items count="11">
        <item x="6"/>
        <item x="1"/>
        <item x="0"/>
        <item x="5"/>
        <item x="3"/>
        <item x="2"/>
        <item x="8"/>
        <item x="9"/>
        <item x="4"/>
        <item x="7"/>
        <item t="default"/>
      </items>
    </pivotField>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Items count="1">
    <i/>
  </colItems>
  <dataFields count="1">
    <dataField name="TOTAL SALES " fld="8" baseField="0" baseItem="0" numFmtId="164"/>
  </dataFields>
  <formats count="23">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grandRow="1" outline="0" fieldPosition="0"/>
    </format>
    <format dxfId="98">
      <pivotArea dataOnly="0" labelOnly="1" outline="0" axis="axisValues" fieldPosition="0"/>
    </format>
    <format dxfId="97">
      <pivotArea field="3" type="button" dataOnly="0" labelOnly="1" outline="0" axis="axisRow" fieldPosition="0"/>
    </format>
    <format dxfId="96">
      <pivotArea dataOnly="0" labelOnly="1" outline="0" axis="axisValues" fieldPosition="0"/>
    </format>
    <format dxfId="95">
      <pivotArea outline="0" collapsedLevelsAreSubtotals="1" fieldPosition="0"/>
    </format>
    <format dxfId="94">
      <pivotArea outline="0" collapsedLevelsAreSubtotals="1" fieldPosition="0"/>
    </format>
    <format dxfId="93">
      <pivotArea dataOnly="0" labelOnly="1" fieldPosition="0">
        <references count="1">
          <reference field="3" count="0"/>
        </references>
      </pivotArea>
    </format>
    <format dxfId="92">
      <pivotArea dataOnly="0" labelOnly="1" grandRow="1" outline="0" fieldPosition="0"/>
    </format>
    <format dxfId="91">
      <pivotArea type="all" dataOnly="0" outline="0" fieldPosition="0"/>
    </format>
    <format dxfId="90">
      <pivotArea outline="0" collapsedLevelsAreSubtotals="1" fieldPosition="0"/>
    </format>
    <format dxfId="89">
      <pivotArea outline="0" collapsedLevelsAreSubtotals="1" fieldPosition="0"/>
    </format>
    <format dxfId="88">
      <pivotArea dataOnly="0" labelOnly="1" fieldPosition="0">
        <references count="1">
          <reference field="3" count="0"/>
        </references>
      </pivotArea>
    </format>
    <format dxfId="87">
      <pivotArea dataOnly="0" labelOnly="1" grandRow="1" outline="0" fieldPosition="0"/>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grandRow="1" outline="0" fieldPosition="0"/>
    </format>
    <format dxfId="81">
      <pivotArea dataOnly="0" labelOnly="1" outline="0" axis="axisValues" fieldPosition="0"/>
    </format>
  </formats>
  <chartFormats count="33">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3" count="1" selected="0">
            <x v="0"/>
          </reference>
        </references>
      </pivotArea>
    </chartFormat>
    <chartFormat chart="4" format="36">
      <pivotArea type="data" outline="0" fieldPosition="0">
        <references count="2">
          <reference field="4294967294" count="1" selected="0">
            <x v="0"/>
          </reference>
          <reference field="3" count="1" selected="0">
            <x v="1"/>
          </reference>
        </references>
      </pivotArea>
    </chartFormat>
    <chartFormat chart="4" format="37">
      <pivotArea type="data" outline="0" fieldPosition="0">
        <references count="2">
          <reference field="4294967294" count="1" selected="0">
            <x v="0"/>
          </reference>
          <reference field="3" count="1" selected="0">
            <x v="2"/>
          </reference>
        </references>
      </pivotArea>
    </chartFormat>
    <chartFormat chart="4" format="38">
      <pivotArea type="data" outline="0" fieldPosition="0">
        <references count="2">
          <reference field="4294967294" count="1" selected="0">
            <x v="0"/>
          </reference>
          <reference field="3" count="1" selected="0">
            <x v="3"/>
          </reference>
        </references>
      </pivotArea>
    </chartFormat>
    <chartFormat chart="4" format="39">
      <pivotArea type="data" outline="0" fieldPosition="0">
        <references count="2">
          <reference field="4294967294" count="1" selected="0">
            <x v="0"/>
          </reference>
          <reference field="3" count="1" selected="0">
            <x v="4"/>
          </reference>
        </references>
      </pivotArea>
    </chartFormat>
    <chartFormat chart="4" format="40">
      <pivotArea type="data" outline="0" fieldPosition="0">
        <references count="2">
          <reference field="4294967294" count="1" selected="0">
            <x v="0"/>
          </reference>
          <reference field="3" count="1" selected="0">
            <x v="5"/>
          </reference>
        </references>
      </pivotArea>
    </chartFormat>
    <chartFormat chart="4" format="41">
      <pivotArea type="data" outline="0" fieldPosition="0">
        <references count="2">
          <reference field="4294967294" count="1" selected="0">
            <x v="0"/>
          </reference>
          <reference field="3" count="1" selected="0">
            <x v="6"/>
          </reference>
        </references>
      </pivotArea>
    </chartFormat>
    <chartFormat chart="4" format="42">
      <pivotArea type="data" outline="0" fieldPosition="0">
        <references count="2">
          <reference field="4294967294" count="1" selected="0">
            <x v="0"/>
          </reference>
          <reference field="3" count="1" selected="0">
            <x v="7"/>
          </reference>
        </references>
      </pivotArea>
    </chartFormat>
    <chartFormat chart="4" format="43">
      <pivotArea type="data" outline="0" fieldPosition="0">
        <references count="2">
          <reference field="4294967294" count="1" selected="0">
            <x v="0"/>
          </reference>
          <reference field="3" count="1" selected="0">
            <x v="8"/>
          </reference>
        </references>
      </pivotArea>
    </chartFormat>
    <chartFormat chart="4" format="44">
      <pivotArea type="data" outline="0" fieldPosition="0">
        <references count="2">
          <reference field="4294967294" count="1" selected="0">
            <x v="0"/>
          </reference>
          <reference field="3" count="1" selected="0">
            <x v="9"/>
          </reference>
        </references>
      </pivotArea>
    </chartFormat>
    <chartFormat chart="6" format="45" series="1">
      <pivotArea type="data" outline="0" fieldPosition="0">
        <references count="1">
          <reference field="4294967294" count="1" selected="0">
            <x v="0"/>
          </reference>
        </references>
      </pivotArea>
    </chartFormat>
    <chartFormat chart="6" format="46">
      <pivotArea type="data" outline="0" fieldPosition="0">
        <references count="2">
          <reference field="4294967294" count="1" selected="0">
            <x v="0"/>
          </reference>
          <reference field="3" count="1" selected="0">
            <x v="0"/>
          </reference>
        </references>
      </pivotArea>
    </chartFormat>
    <chartFormat chart="6" format="47">
      <pivotArea type="data" outline="0" fieldPosition="0">
        <references count="2">
          <reference field="4294967294" count="1" selected="0">
            <x v="0"/>
          </reference>
          <reference field="3" count="1" selected="0">
            <x v="1"/>
          </reference>
        </references>
      </pivotArea>
    </chartFormat>
    <chartFormat chart="6" format="48">
      <pivotArea type="data" outline="0" fieldPosition="0">
        <references count="2">
          <reference field="4294967294" count="1" selected="0">
            <x v="0"/>
          </reference>
          <reference field="3" count="1" selected="0">
            <x v="2"/>
          </reference>
        </references>
      </pivotArea>
    </chartFormat>
    <chartFormat chart="6" format="49">
      <pivotArea type="data" outline="0" fieldPosition="0">
        <references count="2">
          <reference field="4294967294" count="1" selected="0">
            <x v="0"/>
          </reference>
          <reference field="3" count="1" selected="0">
            <x v="3"/>
          </reference>
        </references>
      </pivotArea>
    </chartFormat>
    <chartFormat chart="6" format="50">
      <pivotArea type="data" outline="0" fieldPosition="0">
        <references count="2">
          <reference field="4294967294" count="1" selected="0">
            <x v="0"/>
          </reference>
          <reference field="3" count="1" selected="0">
            <x v="4"/>
          </reference>
        </references>
      </pivotArea>
    </chartFormat>
    <chartFormat chart="6" format="51">
      <pivotArea type="data" outline="0" fieldPosition="0">
        <references count="2">
          <reference field="4294967294" count="1" selected="0">
            <x v="0"/>
          </reference>
          <reference field="3" count="1" selected="0">
            <x v="5"/>
          </reference>
        </references>
      </pivotArea>
    </chartFormat>
    <chartFormat chart="6" format="52">
      <pivotArea type="data" outline="0" fieldPosition="0">
        <references count="2">
          <reference field="4294967294" count="1" selected="0">
            <x v="0"/>
          </reference>
          <reference field="3" count="1" selected="0">
            <x v="6"/>
          </reference>
        </references>
      </pivotArea>
    </chartFormat>
    <chartFormat chart="6" format="53">
      <pivotArea type="data" outline="0" fieldPosition="0">
        <references count="2">
          <reference field="4294967294" count="1" selected="0">
            <x v="0"/>
          </reference>
          <reference field="3" count="1" selected="0">
            <x v="7"/>
          </reference>
        </references>
      </pivotArea>
    </chartFormat>
    <chartFormat chart="6" format="54">
      <pivotArea type="data" outline="0" fieldPosition="0">
        <references count="2">
          <reference field="4294967294" count="1" selected="0">
            <x v="0"/>
          </reference>
          <reference field="3" count="1" selected="0">
            <x v="8"/>
          </reference>
        </references>
      </pivotArea>
    </chartFormat>
    <chartFormat chart="6" format="55">
      <pivotArea type="data" outline="0" fieldPosition="0">
        <references count="2">
          <reference field="4294967294" count="1" selected="0">
            <x v="0"/>
          </reference>
          <reference field="3" count="1" selected="0">
            <x v="9"/>
          </reference>
        </references>
      </pivotArea>
    </chartFormat>
    <chartFormat chart="7" format="56" series="1">
      <pivotArea type="data" outline="0" fieldPosition="0">
        <references count="1">
          <reference field="4294967294" count="1" selected="0">
            <x v="0"/>
          </reference>
        </references>
      </pivotArea>
    </chartFormat>
    <chartFormat chart="7" format="57">
      <pivotArea type="data" outline="0" fieldPosition="0">
        <references count="2">
          <reference field="4294967294" count="1" selected="0">
            <x v="0"/>
          </reference>
          <reference field="3" count="1" selected="0">
            <x v="0"/>
          </reference>
        </references>
      </pivotArea>
    </chartFormat>
    <chartFormat chart="7" format="58">
      <pivotArea type="data" outline="0" fieldPosition="0">
        <references count="2">
          <reference field="4294967294" count="1" selected="0">
            <x v="0"/>
          </reference>
          <reference field="3" count="1" selected="0">
            <x v="1"/>
          </reference>
        </references>
      </pivotArea>
    </chartFormat>
    <chartFormat chart="7" format="59">
      <pivotArea type="data" outline="0" fieldPosition="0">
        <references count="2">
          <reference field="4294967294" count="1" selected="0">
            <x v="0"/>
          </reference>
          <reference field="3" count="1" selected="0">
            <x v="2"/>
          </reference>
        </references>
      </pivotArea>
    </chartFormat>
    <chartFormat chart="7" format="60">
      <pivotArea type="data" outline="0" fieldPosition="0">
        <references count="2">
          <reference field="4294967294" count="1" selected="0">
            <x v="0"/>
          </reference>
          <reference field="3" count="1" selected="0">
            <x v="3"/>
          </reference>
        </references>
      </pivotArea>
    </chartFormat>
    <chartFormat chart="7" format="61">
      <pivotArea type="data" outline="0" fieldPosition="0">
        <references count="2">
          <reference field="4294967294" count="1" selected="0">
            <x v="0"/>
          </reference>
          <reference field="3" count="1" selected="0">
            <x v="4"/>
          </reference>
        </references>
      </pivotArea>
    </chartFormat>
    <chartFormat chart="7" format="62">
      <pivotArea type="data" outline="0" fieldPosition="0">
        <references count="2">
          <reference field="4294967294" count="1" selected="0">
            <x v="0"/>
          </reference>
          <reference field="3" count="1" selected="0">
            <x v="5"/>
          </reference>
        </references>
      </pivotArea>
    </chartFormat>
    <chartFormat chart="7" format="63">
      <pivotArea type="data" outline="0" fieldPosition="0">
        <references count="2">
          <reference field="4294967294" count="1" selected="0">
            <x v="0"/>
          </reference>
          <reference field="3" count="1" selected="0">
            <x v="6"/>
          </reference>
        </references>
      </pivotArea>
    </chartFormat>
    <chartFormat chart="7" format="64">
      <pivotArea type="data" outline="0" fieldPosition="0">
        <references count="2">
          <reference field="4294967294" count="1" selected="0">
            <x v="0"/>
          </reference>
          <reference field="3" count="1" selected="0">
            <x v="7"/>
          </reference>
        </references>
      </pivotArea>
    </chartFormat>
    <chartFormat chart="7" format="65">
      <pivotArea type="data" outline="0" fieldPosition="0">
        <references count="2">
          <reference field="4294967294" count="1" selected="0">
            <x v="0"/>
          </reference>
          <reference field="3" count="1" selected="0">
            <x v="8"/>
          </reference>
        </references>
      </pivotArea>
    </chartFormat>
    <chartFormat chart="7" format="66">
      <pivotArea type="data" outline="0" fieldPosition="0">
        <references count="2">
          <reference field="4294967294" count="1" selected="0">
            <x v="0"/>
          </reference>
          <reference field="3" count="1" selected="0">
            <x v="9"/>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61BF12-2E4C-4F0E-B0C3-1E3658F2F7A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NAME OF MONTHS">
  <location ref="A7:E20" firstHeaderRow="0" firstDataRow="1" firstDataCol="1" rowPageCount="3" colPageCount="1"/>
  <pivotFields count="11">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Page" showAll="0">
      <items count="11">
        <item x="0"/>
        <item x="6"/>
        <item x="2"/>
        <item x="4"/>
        <item x="8"/>
        <item x="1"/>
        <item x="7"/>
        <item x="5"/>
        <item x="3"/>
        <item x="9"/>
        <item t="default"/>
      </items>
    </pivotField>
    <pivotField dataField="1" showAll="0"/>
    <pivotField axis="axisPage" showAll="0">
      <items count="11">
        <item x="3"/>
        <item x="5"/>
        <item x="7"/>
        <item x="0"/>
        <item x="1"/>
        <item x="6"/>
        <item x="9"/>
        <item x="2"/>
        <item x="8"/>
        <item x="4"/>
        <item t="default"/>
      </items>
    </pivotField>
    <pivotField axis="axisPage" showAll="0">
      <items count="11">
        <item x="6"/>
        <item x="1"/>
        <item x="0"/>
        <item x="5"/>
        <item x="3"/>
        <item x="2"/>
        <item x="8"/>
        <item x="9"/>
        <item x="4"/>
        <item x="7"/>
        <item t="default"/>
      </items>
    </pivotField>
    <pivotField showAll="0"/>
    <pivotField dataField="1" showAll="0"/>
    <pivotField showAll="0"/>
    <pivotField dataField="1" showAll="0">
      <items count="252">
        <item x="169"/>
        <item x="239"/>
        <item x="93"/>
        <item x="104"/>
        <item x="105"/>
        <item x="206"/>
        <item x="15"/>
        <item x="219"/>
        <item x="84"/>
        <item x="163"/>
        <item x="171"/>
        <item x="197"/>
        <item x="87"/>
        <item x="179"/>
        <item x="56"/>
        <item x="83"/>
        <item x="148"/>
        <item x="230"/>
        <item x="123"/>
        <item x="27"/>
        <item x="145"/>
        <item x="192"/>
        <item x="16"/>
        <item x="9"/>
        <item x="26"/>
        <item x="126"/>
        <item x="35"/>
        <item x="246"/>
        <item x="194"/>
        <item x="40"/>
        <item x="70"/>
        <item x="125"/>
        <item x="48"/>
        <item x="129"/>
        <item x="116"/>
        <item x="39"/>
        <item x="162"/>
        <item x="141"/>
        <item x="132"/>
        <item x="73"/>
        <item x="77"/>
        <item x="180"/>
        <item x="237"/>
        <item x="203"/>
        <item x="233"/>
        <item x="128"/>
        <item x="201"/>
        <item x="33"/>
        <item x="172"/>
        <item x="221"/>
        <item x="6"/>
        <item x="110"/>
        <item x="92"/>
        <item x="89"/>
        <item x="71"/>
        <item x="37"/>
        <item x="43"/>
        <item x="185"/>
        <item x="210"/>
        <item x="118"/>
        <item x="34"/>
        <item x="17"/>
        <item x="61"/>
        <item x="28"/>
        <item x="44"/>
        <item x="59"/>
        <item x="63"/>
        <item x="198"/>
        <item x="134"/>
        <item x="60"/>
        <item x="215"/>
        <item x="102"/>
        <item x="13"/>
        <item x="250"/>
        <item x="98"/>
        <item x="187"/>
        <item x="78"/>
        <item x="242"/>
        <item x="85"/>
        <item x="68"/>
        <item x="216"/>
        <item x="124"/>
        <item x="146"/>
        <item x="248"/>
        <item x="156"/>
        <item x="177"/>
        <item x="109"/>
        <item x="58"/>
        <item x="153"/>
        <item x="213"/>
        <item x="19"/>
        <item x="205"/>
        <item x="186"/>
        <item x="23"/>
        <item x="138"/>
        <item x="158"/>
        <item x="211"/>
        <item x="53"/>
        <item x="223"/>
        <item x="36"/>
        <item x="64"/>
        <item x="67"/>
        <item x="45"/>
        <item x="94"/>
        <item x="96"/>
        <item x="131"/>
        <item x="4"/>
        <item x="208"/>
        <item x="46"/>
        <item x="20"/>
        <item x="139"/>
        <item x="66"/>
        <item x="114"/>
        <item x="103"/>
        <item x="143"/>
        <item x="159"/>
        <item x="199"/>
        <item x="150"/>
        <item x="160"/>
        <item x="130"/>
        <item x="82"/>
        <item x="117"/>
        <item x="88"/>
        <item x="168"/>
        <item x="101"/>
        <item x="249"/>
        <item x="224"/>
        <item x="144"/>
        <item x="151"/>
        <item x="135"/>
        <item x="238"/>
        <item x="236"/>
        <item x="21"/>
        <item x="174"/>
        <item x="133"/>
        <item x="175"/>
        <item x="72"/>
        <item x="170"/>
        <item x="178"/>
        <item x="235"/>
        <item x="79"/>
        <item x="99"/>
        <item x="2"/>
        <item x="173"/>
        <item x="136"/>
        <item x="245"/>
        <item x="152"/>
        <item x="209"/>
        <item x="25"/>
        <item x="232"/>
        <item x="91"/>
        <item x="5"/>
        <item x="204"/>
        <item x="42"/>
        <item x="100"/>
        <item x="97"/>
        <item x="115"/>
        <item x="29"/>
        <item x="217"/>
        <item x="69"/>
        <item x="140"/>
        <item x="50"/>
        <item x="62"/>
        <item x="65"/>
        <item x="54"/>
        <item x="107"/>
        <item x="52"/>
        <item x="24"/>
        <item x="229"/>
        <item x="240"/>
        <item x="191"/>
        <item x="183"/>
        <item x="80"/>
        <item x="189"/>
        <item x="18"/>
        <item x="182"/>
        <item x="7"/>
        <item x="121"/>
        <item x="154"/>
        <item x="31"/>
        <item x="38"/>
        <item x="120"/>
        <item x="8"/>
        <item x="227"/>
        <item x="241"/>
        <item x="196"/>
        <item x="200"/>
        <item x="75"/>
        <item x="49"/>
        <item x="176"/>
        <item x="12"/>
        <item x="3"/>
        <item x="22"/>
        <item x="113"/>
        <item x="228"/>
        <item x="112"/>
        <item x="74"/>
        <item x="164"/>
        <item x="90"/>
        <item x="95"/>
        <item x="32"/>
        <item x="127"/>
        <item x="167"/>
        <item x="108"/>
        <item x="86"/>
        <item x="81"/>
        <item x="226"/>
        <item x="190"/>
        <item x="76"/>
        <item x="244"/>
        <item x="161"/>
        <item x="234"/>
        <item x="11"/>
        <item x="41"/>
        <item x="218"/>
        <item x="195"/>
        <item x="225"/>
        <item x="122"/>
        <item x="243"/>
        <item x="30"/>
        <item x="214"/>
        <item x="147"/>
        <item x="222"/>
        <item x="1"/>
        <item x="184"/>
        <item x="193"/>
        <item x="55"/>
        <item x="166"/>
        <item x="207"/>
        <item x="106"/>
        <item x="137"/>
        <item x="14"/>
        <item x="155"/>
        <item x="51"/>
        <item x="142"/>
        <item x="212"/>
        <item x="119"/>
        <item x="231"/>
        <item x="247"/>
        <item x="149"/>
        <item x="57"/>
        <item x="111"/>
        <item x="202"/>
        <item x="47"/>
        <item x="10"/>
        <item x="157"/>
        <item x="165"/>
        <item x="188"/>
        <item x="181"/>
        <item x="220"/>
        <item x="0"/>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0"/>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3">
    <pageField fld="1" hier="-1"/>
    <pageField fld="3" hier="-1"/>
    <pageField fld="4" hier="-1"/>
  </pageFields>
  <dataFields count="4">
    <dataField name="TOTAL SALES " fld="8" baseField="10" baseItem="1" numFmtId="164"/>
    <dataField name="TOTAL QTY" fld="2" baseField="0" baseItem="0"/>
    <dataField name="TOTAL COST " fld="6" baseField="0" baseItem="0" numFmtId="164"/>
    <dataField name="TOTAL PROFIT " fld="9" baseField="0" baseItem="0" numFmtId="164"/>
  </dataFields>
  <formats count="28">
    <format dxfId="131">
      <pivotArea type="all" dataOnly="0" outline="0" fieldPosition="0"/>
    </format>
    <format dxfId="130">
      <pivotArea outline="0" collapsedLevelsAreSubtotals="1" fieldPosition="0"/>
    </format>
    <format dxfId="129">
      <pivotArea field="10" type="button" dataOnly="0" labelOnly="1" outline="0" axis="axisRow" fieldPosition="0"/>
    </format>
    <format dxfId="128">
      <pivotArea dataOnly="0" labelOnly="1" fieldPosition="0">
        <references count="1">
          <reference field="10" count="12">
            <x v="1"/>
            <x v="2"/>
            <x v="3"/>
            <x v="4"/>
            <x v="5"/>
            <x v="6"/>
            <x v="7"/>
            <x v="8"/>
            <x v="9"/>
            <x v="10"/>
            <x v="11"/>
            <x v="12"/>
          </reference>
        </references>
      </pivotArea>
    </format>
    <format dxfId="127">
      <pivotArea dataOnly="0" labelOnly="1" grandRow="1" outline="0" fieldPosition="0"/>
    </format>
    <format dxfId="126">
      <pivotArea dataOnly="0" labelOnly="1" outline="0" fieldPosition="0">
        <references count="1">
          <reference field="4294967294" count="4">
            <x v="0"/>
            <x v="1"/>
            <x v="2"/>
            <x v="3"/>
          </reference>
        </references>
      </pivotArea>
    </format>
    <format dxfId="125">
      <pivotArea field="10" type="button" dataOnly="0" labelOnly="1" outline="0" axis="axisRow" fieldPosition="0"/>
    </format>
    <format dxfId="124">
      <pivotArea dataOnly="0" labelOnly="1" outline="0" fieldPosition="0">
        <references count="1">
          <reference field="4294967294" count="4">
            <x v="0"/>
            <x v="1"/>
            <x v="2"/>
            <x v="3"/>
          </reference>
        </references>
      </pivotArea>
    </format>
    <format dxfId="123">
      <pivotArea field="10" type="button" dataOnly="0" labelOnly="1" outline="0" axis="axisRow" fieldPosition="0"/>
    </format>
    <format dxfId="122">
      <pivotArea dataOnly="0" labelOnly="1" outline="0" fieldPosition="0">
        <references count="1">
          <reference field="4294967294" count="4">
            <x v="0"/>
            <x v="1"/>
            <x v="2"/>
            <x v="3"/>
          </reference>
        </references>
      </pivotArea>
    </format>
    <format dxfId="121">
      <pivotArea outline="0" collapsedLevelsAreSubtotals="1" fieldPosition="0">
        <references count="1">
          <reference field="4294967294" count="1" selected="0">
            <x v="0"/>
          </reference>
        </references>
      </pivotArea>
    </format>
    <format dxfId="120">
      <pivotArea outline="0" collapsedLevelsAreSubtotals="1" fieldPosition="0">
        <references count="1">
          <reference field="4294967294" count="1" selected="0">
            <x v="2"/>
          </reference>
        </references>
      </pivotArea>
    </format>
    <format dxfId="119">
      <pivotArea outline="0" collapsedLevelsAreSubtotals="1" fieldPosition="0">
        <references count="1">
          <reference field="4294967294" count="1" selected="0">
            <x v="3"/>
          </reference>
        </references>
      </pivotArea>
    </format>
    <format dxfId="118">
      <pivotArea outline="0" collapsedLevelsAreSubtotals="1" fieldPosition="0"/>
    </format>
    <format dxfId="117">
      <pivotArea dataOnly="0" labelOnly="1" fieldPosition="0">
        <references count="1">
          <reference field="10" count="12">
            <x v="1"/>
            <x v="2"/>
            <x v="3"/>
            <x v="4"/>
            <x v="5"/>
            <x v="6"/>
            <x v="7"/>
            <x v="8"/>
            <x v="9"/>
            <x v="10"/>
            <x v="11"/>
            <x v="12"/>
          </reference>
        </references>
      </pivotArea>
    </format>
    <format dxfId="116">
      <pivotArea dataOnly="0" labelOnly="1" grandRow="1" outline="0" fieldPosition="0"/>
    </format>
    <format dxfId="115">
      <pivotArea type="all" dataOnly="0" outline="0" fieldPosition="0"/>
    </format>
    <format dxfId="114">
      <pivotArea outline="0" collapsedLevelsAreSubtotals="1" fieldPosition="0"/>
    </format>
    <format dxfId="113">
      <pivotArea field="10" type="button" dataOnly="0" labelOnly="1" outline="0" axis="axisRow" fieldPosition="0"/>
    </format>
    <format dxfId="112">
      <pivotArea dataOnly="0" labelOnly="1" fieldPosition="0">
        <references count="1">
          <reference field="10" count="12">
            <x v="1"/>
            <x v="2"/>
            <x v="3"/>
            <x v="4"/>
            <x v="5"/>
            <x v="6"/>
            <x v="7"/>
            <x v="8"/>
            <x v="9"/>
            <x v="10"/>
            <x v="11"/>
            <x v="12"/>
          </reference>
        </references>
      </pivotArea>
    </format>
    <format dxfId="111">
      <pivotArea dataOnly="0" labelOnly="1" grandRow="1" outline="0" fieldPosition="0"/>
    </format>
    <format dxfId="110">
      <pivotArea dataOnly="0" labelOnly="1" outline="0" fieldPosition="0">
        <references count="1">
          <reference field="4294967294" count="4">
            <x v="0"/>
            <x v="1"/>
            <x v="2"/>
            <x v="3"/>
          </reference>
        </references>
      </pivotArea>
    </format>
    <format dxfId="109">
      <pivotArea grandRow="1" outline="0" collapsedLevelsAreSubtotals="1" fieldPosition="0"/>
    </format>
    <format dxfId="108">
      <pivotArea dataOnly="0" labelOnly="1" grandRow="1" outline="0" fieldPosition="0"/>
    </format>
    <format dxfId="107">
      <pivotArea grandRow="1" outline="0" collapsedLevelsAreSubtotals="1" fieldPosition="0"/>
    </format>
    <format dxfId="106">
      <pivotArea dataOnly="0" labelOnly="1" grandRow="1" outline="0" fieldPosition="0"/>
    </format>
    <format dxfId="105">
      <pivotArea grandRow="1" outline="0" collapsedLevelsAreSubtotals="1" fieldPosition="0"/>
    </format>
    <format dxfId="104">
      <pivotArea dataOnly="0" labelOnly="1" grandRow="1" outline="0"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18EE02-91E5-474C-A3D2-F679AF7414E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REA">
  <location ref="J24:K35" firstHeaderRow="1" firstDataRow="1" firstDataCol="1"/>
  <pivotFields count="11">
    <pivotField numFmtId="165" showAll="0"/>
    <pivotField showAll="0"/>
    <pivotField showAll="0"/>
    <pivotField axis="axisRow" showAll="0">
      <items count="11">
        <item x="3"/>
        <item x="5"/>
        <item x="7"/>
        <item x="0"/>
        <item x="1"/>
        <item x="6"/>
        <item x="9"/>
        <item x="2"/>
        <item x="8"/>
        <item x="4"/>
        <item t="default"/>
      </items>
    </pivotField>
    <pivotField showAll="0"/>
    <pivotField showAll="0"/>
    <pivotField dataField="1" showAll="0"/>
    <pivotField showAll="0"/>
    <pivotField showAll="0"/>
    <pivotField showAll="0"/>
    <pivotField showAll="0" defaultSubtotal="0"/>
  </pivotFields>
  <rowFields count="1">
    <field x="3"/>
  </rowFields>
  <rowItems count="11">
    <i>
      <x/>
    </i>
    <i>
      <x v="1"/>
    </i>
    <i>
      <x v="2"/>
    </i>
    <i>
      <x v="3"/>
    </i>
    <i>
      <x v="4"/>
    </i>
    <i>
      <x v="5"/>
    </i>
    <i>
      <x v="6"/>
    </i>
    <i>
      <x v="7"/>
    </i>
    <i>
      <x v="8"/>
    </i>
    <i>
      <x v="9"/>
    </i>
    <i t="grand">
      <x/>
    </i>
  </rowItems>
  <colItems count="1">
    <i/>
  </colItems>
  <dataFields count="1">
    <dataField name="TOTAL COST " fld="6" baseField="0" baseItem="0"/>
  </dataFields>
  <formats count="6">
    <format dxfId="137">
      <pivotArea type="all" dataOnly="0" outline="0" fieldPosition="0"/>
    </format>
    <format dxfId="136">
      <pivotArea outline="0" collapsedLevelsAreSubtotals="1" fieldPosition="0"/>
    </format>
    <format dxfId="135">
      <pivotArea field="3" type="button" dataOnly="0" labelOnly="1" outline="0" axis="axisRow" fieldPosition="0"/>
    </format>
    <format dxfId="134">
      <pivotArea dataOnly="0" labelOnly="1" fieldPosition="0">
        <references count="1">
          <reference field="3" count="0"/>
        </references>
      </pivotArea>
    </format>
    <format dxfId="133">
      <pivotArea dataOnly="0" labelOnly="1" grandRow="1" outline="0" fieldPosition="0"/>
    </format>
    <format dxfId="132">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596C25-AC07-4FCC-AB5F-99C38E06E26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PRODUCT NAME">
  <location ref="A24:B35" firstHeaderRow="1" firstDataRow="1" firstDataCol="1"/>
  <pivotFields count="11">
    <pivotField numFmtId="165" showAll="0"/>
    <pivotField axis="axisRow" showAll="0">
      <items count="11">
        <item x="0"/>
        <item x="6"/>
        <item x="2"/>
        <item x="4"/>
        <item x="8"/>
        <item x="1"/>
        <item x="7"/>
        <item x="5"/>
        <item x="3"/>
        <item x="9"/>
        <item t="default"/>
      </items>
    </pivotField>
    <pivotField showAll="0"/>
    <pivotField showAll="0">
      <items count="11">
        <item x="3"/>
        <item x="5"/>
        <item x="7"/>
        <item x="0"/>
        <item x="1"/>
        <item x="6"/>
        <item x="9"/>
        <item x="2"/>
        <item x="8"/>
        <item x="4"/>
        <item t="default"/>
      </items>
    </pivotField>
    <pivotField showAll="0">
      <items count="11">
        <item x="6"/>
        <item x="1"/>
        <item x="0"/>
        <item x="5"/>
        <item x="3"/>
        <item x="2"/>
        <item x="8"/>
        <item x="9"/>
        <item x="4"/>
        <item x="7"/>
        <item t="default"/>
      </items>
    </pivotField>
    <pivotField showAll="0"/>
    <pivotField showAll="0"/>
    <pivotField showAll="0"/>
    <pivotField dataField="1" showAll="0">
      <items count="252">
        <item x="169"/>
        <item x="239"/>
        <item x="93"/>
        <item x="104"/>
        <item x="105"/>
        <item x="206"/>
        <item x="15"/>
        <item x="219"/>
        <item x="84"/>
        <item x="163"/>
        <item x="171"/>
        <item x="197"/>
        <item x="87"/>
        <item x="179"/>
        <item x="56"/>
        <item x="83"/>
        <item x="148"/>
        <item x="230"/>
        <item x="123"/>
        <item x="27"/>
        <item x="145"/>
        <item x="192"/>
        <item x="16"/>
        <item x="9"/>
        <item x="26"/>
        <item x="126"/>
        <item x="35"/>
        <item x="246"/>
        <item x="194"/>
        <item x="40"/>
        <item x="70"/>
        <item x="125"/>
        <item x="48"/>
        <item x="129"/>
        <item x="116"/>
        <item x="39"/>
        <item x="162"/>
        <item x="141"/>
        <item x="132"/>
        <item x="73"/>
        <item x="77"/>
        <item x="180"/>
        <item x="237"/>
        <item x="203"/>
        <item x="233"/>
        <item x="128"/>
        <item x="201"/>
        <item x="33"/>
        <item x="172"/>
        <item x="221"/>
        <item x="6"/>
        <item x="110"/>
        <item x="92"/>
        <item x="89"/>
        <item x="71"/>
        <item x="37"/>
        <item x="43"/>
        <item x="185"/>
        <item x="210"/>
        <item x="118"/>
        <item x="34"/>
        <item x="17"/>
        <item x="61"/>
        <item x="28"/>
        <item x="44"/>
        <item x="59"/>
        <item x="63"/>
        <item x="198"/>
        <item x="134"/>
        <item x="60"/>
        <item x="215"/>
        <item x="102"/>
        <item x="13"/>
        <item x="250"/>
        <item x="98"/>
        <item x="187"/>
        <item x="78"/>
        <item x="242"/>
        <item x="85"/>
        <item x="68"/>
        <item x="216"/>
        <item x="124"/>
        <item x="146"/>
        <item x="248"/>
        <item x="156"/>
        <item x="177"/>
        <item x="109"/>
        <item x="58"/>
        <item x="153"/>
        <item x="213"/>
        <item x="19"/>
        <item x="205"/>
        <item x="186"/>
        <item x="23"/>
        <item x="138"/>
        <item x="158"/>
        <item x="211"/>
        <item x="53"/>
        <item x="223"/>
        <item x="36"/>
        <item x="64"/>
        <item x="67"/>
        <item x="45"/>
        <item x="94"/>
        <item x="96"/>
        <item x="131"/>
        <item x="4"/>
        <item x="208"/>
        <item x="46"/>
        <item x="20"/>
        <item x="139"/>
        <item x="66"/>
        <item x="114"/>
        <item x="103"/>
        <item x="143"/>
        <item x="159"/>
        <item x="199"/>
        <item x="150"/>
        <item x="160"/>
        <item x="130"/>
        <item x="82"/>
        <item x="117"/>
        <item x="88"/>
        <item x="168"/>
        <item x="101"/>
        <item x="249"/>
        <item x="224"/>
        <item x="144"/>
        <item x="151"/>
        <item x="135"/>
        <item x="238"/>
        <item x="236"/>
        <item x="21"/>
        <item x="174"/>
        <item x="133"/>
        <item x="175"/>
        <item x="72"/>
        <item x="170"/>
        <item x="178"/>
        <item x="235"/>
        <item x="79"/>
        <item x="99"/>
        <item x="2"/>
        <item x="173"/>
        <item x="136"/>
        <item x="245"/>
        <item x="152"/>
        <item x="209"/>
        <item x="25"/>
        <item x="232"/>
        <item x="91"/>
        <item x="5"/>
        <item x="204"/>
        <item x="42"/>
        <item x="100"/>
        <item x="97"/>
        <item x="115"/>
        <item x="29"/>
        <item x="217"/>
        <item x="69"/>
        <item x="140"/>
        <item x="50"/>
        <item x="62"/>
        <item x="65"/>
        <item x="54"/>
        <item x="107"/>
        <item x="52"/>
        <item x="24"/>
        <item x="229"/>
        <item x="240"/>
        <item x="191"/>
        <item x="183"/>
        <item x="80"/>
        <item x="189"/>
        <item x="18"/>
        <item x="182"/>
        <item x="7"/>
        <item x="121"/>
        <item x="154"/>
        <item x="31"/>
        <item x="38"/>
        <item x="120"/>
        <item x="8"/>
        <item x="227"/>
        <item x="241"/>
        <item x="196"/>
        <item x="200"/>
        <item x="75"/>
        <item x="49"/>
        <item x="176"/>
        <item x="12"/>
        <item x="3"/>
        <item x="22"/>
        <item x="113"/>
        <item x="228"/>
        <item x="112"/>
        <item x="74"/>
        <item x="164"/>
        <item x="90"/>
        <item x="95"/>
        <item x="32"/>
        <item x="127"/>
        <item x="167"/>
        <item x="108"/>
        <item x="86"/>
        <item x="81"/>
        <item x="226"/>
        <item x="190"/>
        <item x="76"/>
        <item x="244"/>
        <item x="161"/>
        <item x="234"/>
        <item x="11"/>
        <item x="41"/>
        <item x="218"/>
        <item x="195"/>
        <item x="225"/>
        <item x="122"/>
        <item x="243"/>
        <item x="30"/>
        <item x="214"/>
        <item x="147"/>
        <item x="222"/>
        <item x="1"/>
        <item x="184"/>
        <item x="193"/>
        <item x="55"/>
        <item x="166"/>
        <item x="207"/>
        <item x="106"/>
        <item x="137"/>
        <item x="14"/>
        <item x="155"/>
        <item x="51"/>
        <item x="142"/>
        <item x="212"/>
        <item x="119"/>
        <item x="231"/>
        <item x="247"/>
        <item x="149"/>
        <item x="57"/>
        <item x="111"/>
        <item x="202"/>
        <item x="47"/>
        <item x="10"/>
        <item x="157"/>
        <item x="165"/>
        <item x="188"/>
        <item x="181"/>
        <item x="220"/>
        <item x="0"/>
        <item t="default"/>
      </items>
    </pivotField>
    <pivotField showAl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TOTAL SALES " fld="8" baseField="0" baseItem="0" numFmtId="164"/>
  </dataFields>
  <formats count="25">
    <format dxfId="162">
      <pivotArea type="all" dataOnly="0" outline="0" fieldPosition="0"/>
    </format>
    <format dxfId="161">
      <pivotArea outline="0" collapsedLevelsAreSubtotals="1" fieldPosition="0"/>
    </format>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grandRow="1" outline="0" fieldPosition="0"/>
    </format>
    <format dxfId="157">
      <pivotArea dataOnly="0" labelOnly="1" outline="0" axis="axisValues" fieldPosition="0"/>
    </format>
    <format dxfId="156">
      <pivotArea outline="0" collapsedLevelsAreSubtotals="1" fieldPosition="0"/>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1" type="button" dataOnly="0" labelOnly="1" outline="0" axis="axisRow" fieldPosition="0"/>
    </format>
    <format dxfId="146">
      <pivotArea dataOnly="0" labelOnly="1" fieldPosition="0">
        <references count="1">
          <reference field="1"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outline="0" axis="axisValues" fieldPosition="0"/>
    </format>
  </formats>
  <chartFormats count="33">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2">
          <reference field="4294967294" count="1" selected="0">
            <x v="0"/>
          </reference>
          <reference field="1" count="1" selected="0">
            <x v="1"/>
          </reference>
        </references>
      </pivotArea>
    </chartFormat>
    <chartFormat chart="4" format="27">
      <pivotArea type="data" outline="0" fieldPosition="0">
        <references count="2">
          <reference field="4294967294" count="1" selected="0">
            <x v="0"/>
          </reference>
          <reference field="1" count="1" selected="0">
            <x v="2"/>
          </reference>
        </references>
      </pivotArea>
    </chartFormat>
    <chartFormat chart="4" format="28">
      <pivotArea type="data" outline="0" fieldPosition="0">
        <references count="2">
          <reference field="4294967294" count="1" selected="0">
            <x v="0"/>
          </reference>
          <reference field="1" count="1" selected="0">
            <x v="3"/>
          </reference>
        </references>
      </pivotArea>
    </chartFormat>
    <chartFormat chart="4" format="29">
      <pivotArea type="data" outline="0" fieldPosition="0">
        <references count="2">
          <reference field="4294967294" count="1" selected="0">
            <x v="0"/>
          </reference>
          <reference field="1" count="1" selected="0">
            <x v="4"/>
          </reference>
        </references>
      </pivotArea>
    </chartFormat>
    <chartFormat chart="4" format="30">
      <pivotArea type="data" outline="0" fieldPosition="0">
        <references count="2">
          <reference field="4294967294" count="1" selected="0">
            <x v="0"/>
          </reference>
          <reference field="1" count="1" selected="0">
            <x v="5"/>
          </reference>
        </references>
      </pivotArea>
    </chartFormat>
    <chartFormat chart="4" format="31">
      <pivotArea type="data" outline="0" fieldPosition="0">
        <references count="2">
          <reference field="4294967294" count="1" selected="0">
            <x v="0"/>
          </reference>
          <reference field="1" count="1" selected="0">
            <x v="6"/>
          </reference>
        </references>
      </pivotArea>
    </chartFormat>
    <chartFormat chart="4" format="32">
      <pivotArea type="data" outline="0" fieldPosition="0">
        <references count="2">
          <reference field="4294967294" count="1" selected="0">
            <x v="0"/>
          </reference>
          <reference field="1" count="1" selected="0">
            <x v="7"/>
          </reference>
        </references>
      </pivotArea>
    </chartFormat>
    <chartFormat chart="4" format="33">
      <pivotArea type="data" outline="0" fieldPosition="0">
        <references count="2">
          <reference field="4294967294" count="1" selected="0">
            <x v="0"/>
          </reference>
          <reference field="1" count="1" selected="0">
            <x v="8"/>
          </reference>
        </references>
      </pivotArea>
    </chartFormat>
    <chartFormat chart="4" format="34">
      <pivotArea type="data" outline="0" fieldPosition="0">
        <references count="2">
          <reference field="4294967294" count="1" selected="0">
            <x v="0"/>
          </reference>
          <reference field="1" count="1" selected="0">
            <x v="9"/>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1" count="1" selected="0">
            <x v="0"/>
          </reference>
        </references>
      </pivotArea>
    </chartFormat>
    <chartFormat chart="6" format="37">
      <pivotArea type="data" outline="0" fieldPosition="0">
        <references count="2">
          <reference field="4294967294" count="1" selected="0">
            <x v="0"/>
          </reference>
          <reference field="1" count="1" selected="0">
            <x v="1"/>
          </reference>
        </references>
      </pivotArea>
    </chartFormat>
    <chartFormat chart="6" format="38">
      <pivotArea type="data" outline="0" fieldPosition="0">
        <references count="2">
          <reference field="4294967294" count="1" selected="0">
            <x v="0"/>
          </reference>
          <reference field="1" count="1" selected="0">
            <x v="2"/>
          </reference>
        </references>
      </pivotArea>
    </chartFormat>
    <chartFormat chart="6" format="39">
      <pivotArea type="data" outline="0" fieldPosition="0">
        <references count="2">
          <reference field="4294967294" count="1" selected="0">
            <x v="0"/>
          </reference>
          <reference field="1" count="1" selected="0">
            <x v="3"/>
          </reference>
        </references>
      </pivotArea>
    </chartFormat>
    <chartFormat chart="6" format="40">
      <pivotArea type="data" outline="0" fieldPosition="0">
        <references count="2">
          <reference field="4294967294" count="1" selected="0">
            <x v="0"/>
          </reference>
          <reference field="1" count="1" selected="0">
            <x v="4"/>
          </reference>
        </references>
      </pivotArea>
    </chartFormat>
    <chartFormat chart="6" format="41">
      <pivotArea type="data" outline="0" fieldPosition="0">
        <references count="2">
          <reference field="4294967294" count="1" selected="0">
            <x v="0"/>
          </reference>
          <reference field="1" count="1" selected="0">
            <x v="5"/>
          </reference>
        </references>
      </pivotArea>
    </chartFormat>
    <chartFormat chart="6" format="42">
      <pivotArea type="data" outline="0" fieldPosition="0">
        <references count="2">
          <reference field="4294967294" count="1" selected="0">
            <x v="0"/>
          </reference>
          <reference field="1" count="1" selected="0">
            <x v="6"/>
          </reference>
        </references>
      </pivotArea>
    </chartFormat>
    <chartFormat chart="6" format="43">
      <pivotArea type="data" outline="0" fieldPosition="0">
        <references count="2">
          <reference field="4294967294" count="1" selected="0">
            <x v="0"/>
          </reference>
          <reference field="1" count="1" selected="0">
            <x v="7"/>
          </reference>
        </references>
      </pivotArea>
    </chartFormat>
    <chartFormat chart="6" format="44">
      <pivotArea type="data" outline="0" fieldPosition="0">
        <references count="2">
          <reference field="4294967294" count="1" selected="0">
            <x v="0"/>
          </reference>
          <reference field="1" count="1" selected="0">
            <x v="8"/>
          </reference>
        </references>
      </pivotArea>
    </chartFormat>
    <chartFormat chart="6" format="45">
      <pivotArea type="data" outline="0" fieldPosition="0">
        <references count="2">
          <reference field="4294967294" count="1" selected="0">
            <x v="0"/>
          </reference>
          <reference field="1" count="1" selected="0">
            <x v="9"/>
          </reference>
        </references>
      </pivotArea>
    </chartFormat>
    <chartFormat chart="7" format="46" series="1">
      <pivotArea type="data" outline="0" fieldPosition="0">
        <references count="1">
          <reference field="4294967294" count="1" selected="0">
            <x v="0"/>
          </reference>
        </references>
      </pivotArea>
    </chartFormat>
    <chartFormat chart="7" format="47">
      <pivotArea type="data" outline="0" fieldPosition="0">
        <references count="2">
          <reference field="4294967294" count="1" selected="0">
            <x v="0"/>
          </reference>
          <reference field="1" count="1" selected="0">
            <x v="0"/>
          </reference>
        </references>
      </pivotArea>
    </chartFormat>
    <chartFormat chart="7" format="48">
      <pivotArea type="data" outline="0" fieldPosition="0">
        <references count="2">
          <reference field="4294967294" count="1" selected="0">
            <x v="0"/>
          </reference>
          <reference field="1" count="1" selected="0">
            <x v="1"/>
          </reference>
        </references>
      </pivotArea>
    </chartFormat>
    <chartFormat chart="7" format="49">
      <pivotArea type="data" outline="0" fieldPosition="0">
        <references count="2">
          <reference field="4294967294" count="1" selected="0">
            <x v="0"/>
          </reference>
          <reference field="1" count="1" selected="0">
            <x v="2"/>
          </reference>
        </references>
      </pivotArea>
    </chartFormat>
    <chartFormat chart="7" format="50">
      <pivotArea type="data" outline="0" fieldPosition="0">
        <references count="2">
          <reference field="4294967294" count="1" selected="0">
            <x v="0"/>
          </reference>
          <reference field="1" count="1" selected="0">
            <x v="3"/>
          </reference>
        </references>
      </pivotArea>
    </chartFormat>
    <chartFormat chart="7" format="51">
      <pivotArea type="data" outline="0" fieldPosition="0">
        <references count="2">
          <reference field="4294967294" count="1" selected="0">
            <x v="0"/>
          </reference>
          <reference field="1" count="1" selected="0">
            <x v="4"/>
          </reference>
        </references>
      </pivotArea>
    </chartFormat>
    <chartFormat chart="7" format="52">
      <pivotArea type="data" outline="0" fieldPosition="0">
        <references count="2">
          <reference field="4294967294" count="1" selected="0">
            <x v="0"/>
          </reference>
          <reference field="1" count="1" selected="0">
            <x v="5"/>
          </reference>
        </references>
      </pivotArea>
    </chartFormat>
    <chartFormat chart="7" format="53">
      <pivotArea type="data" outline="0" fieldPosition="0">
        <references count="2">
          <reference field="4294967294" count="1" selected="0">
            <x v="0"/>
          </reference>
          <reference field="1" count="1" selected="0">
            <x v="6"/>
          </reference>
        </references>
      </pivotArea>
    </chartFormat>
    <chartFormat chart="7" format="54">
      <pivotArea type="data" outline="0" fieldPosition="0">
        <references count="2">
          <reference field="4294967294" count="1" selected="0">
            <x v="0"/>
          </reference>
          <reference field="1" count="1" selected="0">
            <x v="7"/>
          </reference>
        </references>
      </pivotArea>
    </chartFormat>
    <chartFormat chart="7" format="55">
      <pivotArea type="data" outline="0" fieldPosition="0">
        <references count="2">
          <reference field="4294967294" count="1" selected="0">
            <x v="0"/>
          </reference>
          <reference field="1" count="1" selected="0">
            <x v="8"/>
          </reference>
        </references>
      </pivotArea>
    </chartFormat>
    <chartFormat chart="7" format="56">
      <pivotArea type="data" outline="0" fieldPosition="0">
        <references count="2">
          <reference field="4294967294" count="1" selected="0">
            <x v="0"/>
          </reference>
          <reference field="1" count="1" selected="0">
            <x v="9"/>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DF4F705-9369-4EC6-BC1B-FF1ACEF440D7}" sourceName="PRODUCT">
  <pivotTables>
    <pivotTable tabId="8" name="PivotTable5"/>
    <pivotTable tabId="8" name="PivotTable1"/>
    <pivotTable tabId="8" name="PivotTable11"/>
    <pivotTable tabId="8" name="PivotTable2"/>
    <pivotTable tabId="8" name="PivotTable3"/>
    <pivotTable tabId="8" name="PivotTable4"/>
  </pivotTables>
  <data>
    <tabular pivotCacheId="483049699">
      <items count="10">
        <i x="0" s="1"/>
        <i x="6" s="1"/>
        <i x="2" s="1"/>
        <i x="4" s="1"/>
        <i x="8" s="1"/>
        <i x="1" s="1"/>
        <i x="7" s="1"/>
        <i x="5" s="1"/>
        <i x="3"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D1FD0A3C-16E1-4DC4-9AEA-4EBF29472ABA}" sourceName="AREA">
  <pivotTables>
    <pivotTable tabId="8" name="PivotTable5"/>
    <pivotTable tabId="8" name="PivotTable1"/>
    <pivotTable tabId="8" name="PivotTable11"/>
    <pivotTable tabId="8" name="PivotTable2"/>
    <pivotTable tabId="8" name="PivotTable3"/>
    <pivotTable tabId="8" name="PivotTable4"/>
  </pivotTables>
  <data>
    <tabular pivotCacheId="483049699">
      <items count="10">
        <i x="3" s="1"/>
        <i x="5" s="1"/>
        <i x="7" s="1"/>
        <i x="0" s="1"/>
        <i x="1" s="1"/>
        <i x="6" s="1"/>
        <i x="9" s="1"/>
        <i x="2" s="1"/>
        <i x="8"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 xr10:uid="{F420A99E-C392-4EC0-AACC-E9AA1BCA626A}" sourceName="DEALER">
  <pivotTables>
    <pivotTable tabId="8" name="PivotTable5"/>
    <pivotTable tabId="8" name="PivotTable1"/>
    <pivotTable tabId="8" name="PivotTable11"/>
    <pivotTable tabId="8" name="PivotTable2"/>
    <pivotTable tabId="8" name="PivotTable3"/>
    <pivotTable tabId="8" name="PivotTable4"/>
  </pivotTables>
  <data>
    <tabular pivotCacheId="483049699">
      <items count="10">
        <i x="6" s="1"/>
        <i x="1" s="1"/>
        <i x="0" s="1"/>
        <i x="5" s="1"/>
        <i x="3" s="1"/>
        <i x="2" s="1"/>
        <i x="8" s="1"/>
        <i x="9"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6537AAB-BFFC-4D5B-B803-3E45DC511CF5}" sourceName="Months">
  <pivotTables>
    <pivotTable tabId="8" name="PivotTable5"/>
    <pivotTable tabId="8" name="PivotTable1"/>
    <pivotTable tabId="8" name="PivotTable11"/>
    <pivotTable tabId="8" name="PivotTable2"/>
    <pivotTable tabId="8" name="PivotTable3"/>
    <pivotTable tabId="8" name="PivotTable4"/>
  </pivotTables>
  <data>
    <tabular pivotCacheId="48304969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C6418F8-8538-41A7-A011-15CBC88638F0}" cache="Slicer_PRODUCT" caption="PRODUCT" columnCount="2" style="SlicerStyleLight2" rowHeight="288000"/>
  <slicer name="AREA" xr10:uid="{58876FFF-1CD1-4F41-BEDB-A3F07574D0D9}" cache="Slicer_AREA" caption="AREA" columnCount="2" style="SlicerStyleLight2" rowHeight="396000"/>
  <slicer name="DEALER" xr10:uid="{A19BD90E-609D-4DF8-8876-4A18888C99E1}" cache="Slicer_DEALER" caption="DEALER" columnCount="2" style="SlicerStyleLight2" rowHeight="288000"/>
  <slicer name="Months" xr10:uid="{05593B26-7EB5-4F61-82E5-E2E4198020FB}" cache="Slicer_Months" caption="Months" columnCount="2"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253949-A497-4C0C-A26F-05DFED6434DF}" name="Table4" displayName="Table4" ref="A1:J366" totalsRowShown="0" headerRowDxfId="173">
  <autoFilter ref="A1:J366" xr:uid="{BB253949-A497-4C0C-A26F-05DFED6434DF}"/>
  <tableColumns count="10">
    <tableColumn id="1" xr3:uid="{73902B13-272A-43FE-BEF4-1B9E3E61F132}" name="DATE" dataDxfId="172"/>
    <tableColumn id="2" xr3:uid="{8B6EE64C-9162-4E7E-B300-47D80DF41413}" name="PRODUCT" dataDxfId="171"/>
    <tableColumn id="3" xr3:uid="{FB16ABEA-EB80-4E7F-BECD-67F4F90B8AC5}" name="QTY" dataDxfId="170"/>
    <tableColumn id="4" xr3:uid="{89B9EE1A-7DD6-4C91-843E-B9FD9C960739}" name="AREA" dataDxfId="169"/>
    <tableColumn id="5" xr3:uid="{F7CA411B-4CCA-476B-94F3-246B0CB3B2E0}" name="DEALER" dataDxfId="168"/>
    <tableColumn id="6" xr3:uid="{378AA72E-8BDC-4B0D-999C-1C29AFC2119A}" name="COST PRICE" dataDxfId="167"/>
    <tableColumn id="7" xr3:uid="{153F39C7-626B-44B6-96AB-6E53EBE5B46E}" name="TOTAL COST" dataDxfId="166"/>
    <tableColumn id="8" xr3:uid="{2D56D426-14DB-4840-83AC-39A3E4BCE8AD}" name="SALE PRICE " dataDxfId="165"/>
    <tableColumn id="9" xr3:uid="{5CB61D86-8001-4428-9C2A-53DFBB927567}" name="TOTAL SALES" dataDxfId="164"/>
    <tableColumn id="10" xr3:uid="{2AB17130-2E1E-42DB-B7CF-8BE4511E60EF}" name="TOTAL PROFIT" dataDxfId="163"/>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FDEB-5484-4D01-BCBF-5B710A1E05DF}">
  <dimension ref="A1:J366"/>
  <sheetViews>
    <sheetView workbookViewId="0">
      <selection activeCell="D3" sqref="D3"/>
    </sheetView>
  </sheetViews>
  <sheetFormatPr defaultRowHeight="14.5" x14ac:dyDescent="0.35"/>
  <cols>
    <col min="1" max="1" width="9.7265625" bestFit="1" customWidth="1"/>
    <col min="2" max="2" width="11" customWidth="1"/>
    <col min="3" max="3" width="6.1796875" customWidth="1"/>
    <col min="4" max="4" width="14" bestFit="1" customWidth="1"/>
    <col min="5" max="5" width="9.1796875" customWidth="1"/>
    <col min="6" max="6" width="12.453125" style="85" customWidth="1"/>
    <col min="7" max="7" width="13" style="85" customWidth="1"/>
    <col min="8" max="8" width="12.453125" style="85" customWidth="1"/>
    <col min="9" max="9" width="13.453125" style="85" customWidth="1"/>
    <col min="10" max="10" width="14.6328125" style="85" customWidth="1"/>
  </cols>
  <sheetData>
    <row r="1" spans="1:10" x14ac:dyDescent="0.35">
      <c r="A1" s="2" t="s">
        <v>7</v>
      </c>
      <c r="B1" s="2" t="s">
        <v>0</v>
      </c>
      <c r="C1" s="2" t="s">
        <v>8</v>
      </c>
      <c r="D1" s="2" t="s">
        <v>9</v>
      </c>
      <c r="E1" s="2" t="s">
        <v>10</v>
      </c>
      <c r="F1" s="83" t="s">
        <v>6</v>
      </c>
      <c r="G1" s="83" t="s">
        <v>11</v>
      </c>
      <c r="H1" s="83" t="s">
        <v>12</v>
      </c>
      <c r="I1" s="83" t="s">
        <v>13</v>
      </c>
      <c r="J1" s="83" t="s">
        <v>14</v>
      </c>
    </row>
    <row r="2" spans="1:10" x14ac:dyDescent="0.35">
      <c r="A2" s="5">
        <v>45658</v>
      </c>
      <c r="B2" s="3" t="s">
        <v>15</v>
      </c>
      <c r="C2" s="3">
        <v>100</v>
      </c>
      <c r="D2" s="3" t="s">
        <v>16</v>
      </c>
      <c r="E2" s="3" t="s">
        <v>1</v>
      </c>
      <c r="F2" s="84">
        <v>2500</v>
      </c>
      <c r="G2" s="84">
        <v>250000</v>
      </c>
      <c r="H2" s="84">
        <v>5500</v>
      </c>
      <c r="I2" s="84">
        <v>550000</v>
      </c>
      <c r="J2" s="84">
        <v>300000</v>
      </c>
    </row>
    <row r="3" spans="1:10" x14ac:dyDescent="0.35">
      <c r="A3" s="5">
        <v>45659</v>
      </c>
      <c r="B3" s="3" t="s">
        <v>17</v>
      </c>
      <c r="C3" s="3">
        <v>78</v>
      </c>
      <c r="D3" s="3" t="s">
        <v>18</v>
      </c>
      <c r="E3" s="3" t="s">
        <v>19</v>
      </c>
      <c r="F3" s="84">
        <v>1200</v>
      </c>
      <c r="G3" s="84">
        <v>93600</v>
      </c>
      <c r="H3" s="84">
        <v>2500</v>
      </c>
      <c r="I3" s="84">
        <v>195000</v>
      </c>
      <c r="J3" s="84">
        <v>101400</v>
      </c>
    </row>
    <row r="4" spans="1:10" x14ac:dyDescent="0.35">
      <c r="A4" s="5">
        <v>45660</v>
      </c>
      <c r="B4" s="3" t="s">
        <v>20</v>
      </c>
      <c r="C4" s="3">
        <v>58</v>
      </c>
      <c r="D4" s="3" t="s">
        <v>21</v>
      </c>
      <c r="E4" s="3" t="s">
        <v>22</v>
      </c>
      <c r="F4" s="84">
        <v>800</v>
      </c>
      <c r="G4" s="84">
        <v>46400</v>
      </c>
      <c r="H4" s="84">
        <v>1500</v>
      </c>
      <c r="I4" s="84">
        <v>87000</v>
      </c>
      <c r="J4" s="84">
        <v>40600</v>
      </c>
    </row>
    <row r="5" spans="1:10" x14ac:dyDescent="0.35">
      <c r="A5" s="5">
        <v>45661</v>
      </c>
      <c r="B5" s="3" t="s">
        <v>23</v>
      </c>
      <c r="C5" s="3">
        <v>68</v>
      </c>
      <c r="D5" s="3" t="s">
        <v>24</v>
      </c>
      <c r="E5" s="3" t="s">
        <v>25</v>
      </c>
      <c r="F5" s="84">
        <v>1000</v>
      </c>
      <c r="G5" s="84">
        <v>68000</v>
      </c>
      <c r="H5" s="84">
        <v>2000</v>
      </c>
      <c r="I5" s="84">
        <v>136000</v>
      </c>
      <c r="J5" s="84">
        <v>68000</v>
      </c>
    </row>
    <row r="6" spans="1:10" x14ac:dyDescent="0.35">
      <c r="A6" s="5">
        <v>45662</v>
      </c>
      <c r="B6" s="3" t="s">
        <v>26</v>
      </c>
      <c r="C6" s="3">
        <v>27</v>
      </c>
      <c r="D6" s="3" t="s">
        <v>27</v>
      </c>
      <c r="E6" s="3" t="s">
        <v>28</v>
      </c>
      <c r="F6" s="84">
        <v>1000</v>
      </c>
      <c r="G6" s="84">
        <v>27000</v>
      </c>
      <c r="H6" s="84">
        <v>2200</v>
      </c>
      <c r="I6" s="84">
        <v>59400</v>
      </c>
      <c r="J6" s="84">
        <v>32400</v>
      </c>
    </row>
    <row r="7" spans="1:10" x14ac:dyDescent="0.35">
      <c r="A7" s="5">
        <v>45663</v>
      </c>
      <c r="B7" s="3" t="s">
        <v>29</v>
      </c>
      <c r="C7" s="3">
        <v>78</v>
      </c>
      <c r="D7" s="3" t="s">
        <v>30</v>
      </c>
      <c r="E7" s="3" t="s">
        <v>31</v>
      </c>
      <c r="F7" s="84">
        <v>600</v>
      </c>
      <c r="G7" s="84">
        <v>46800</v>
      </c>
      <c r="H7" s="84">
        <v>1200</v>
      </c>
      <c r="I7" s="84">
        <v>93600</v>
      </c>
      <c r="J7" s="84">
        <v>46800</v>
      </c>
    </row>
    <row r="8" spans="1:10" x14ac:dyDescent="0.35">
      <c r="A8" s="5">
        <v>45664</v>
      </c>
      <c r="B8" s="3" t="s">
        <v>32</v>
      </c>
      <c r="C8" s="3">
        <v>52</v>
      </c>
      <c r="D8" s="3" t="s">
        <v>33</v>
      </c>
      <c r="E8" s="3" t="s">
        <v>34</v>
      </c>
      <c r="F8" s="84">
        <v>200</v>
      </c>
      <c r="G8" s="84">
        <v>10400</v>
      </c>
      <c r="H8" s="84">
        <v>550</v>
      </c>
      <c r="I8" s="84">
        <v>28600</v>
      </c>
      <c r="J8" s="84">
        <v>18200</v>
      </c>
    </row>
    <row r="9" spans="1:10" x14ac:dyDescent="0.35">
      <c r="A9" s="5">
        <v>45665</v>
      </c>
      <c r="B9" s="3" t="s">
        <v>35</v>
      </c>
      <c r="C9" s="3">
        <v>98</v>
      </c>
      <c r="D9" s="3" t="s">
        <v>36</v>
      </c>
      <c r="E9" s="3" t="s">
        <v>37</v>
      </c>
      <c r="F9" s="84">
        <v>550</v>
      </c>
      <c r="G9" s="84">
        <v>53900</v>
      </c>
      <c r="H9" s="84">
        <v>1200</v>
      </c>
      <c r="I9" s="84">
        <v>117600</v>
      </c>
      <c r="J9" s="84">
        <v>63700</v>
      </c>
    </row>
    <row r="10" spans="1:10" x14ac:dyDescent="0.35">
      <c r="A10" s="5">
        <v>45666</v>
      </c>
      <c r="B10" s="3" t="s">
        <v>38</v>
      </c>
      <c r="C10" s="3">
        <v>57</v>
      </c>
      <c r="D10" s="3" t="s">
        <v>39</v>
      </c>
      <c r="E10" s="3" t="s">
        <v>40</v>
      </c>
      <c r="F10" s="84">
        <v>1000</v>
      </c>
      <c r="G10" s="84">
        <v>57000</v>
      </c>
      <c r="H10" s="84">
        <v>2200</v>
      </c>
      <c r="I10" s="84">
        <v>125400</v>
      </c>
      <c r="J10" s="84">
        <v>68400</v>
      </c>
    </row>
    <row r="11" spans="1:10" x14ac:dyDescent="0.35">
      <c r="A11" s="5">
        <v>45667</v>
      </c>
      <c r="B11" s="3" t="s">
        <v>41</v>
      </c>
      <c r="C11" s="3">
        <v>20</v>
      </c>
      <c r="D11" s="3" t="s">
        <v>42</v>
      </c>
      <c r="E11" s="3" t="s">
        <v>43</v>
      </c>
      <c r="F11" s="84">
        <v>550</v>
      </c>
      <c r="G11" s="84">
        <v>11000</v>
      </c>
      <c r="H11" s="84">
        <v>650</v>
      </c>
      <c r="I11" s="84">
        <v>13000</v>
      </c>
      <c r="J11" s="84">
        <v>2000</v>
      </c>
    </row>
    <row r="12" spans="1:10" x14ac:dyDescent="0.35">
      <c r="A12" s="5">
        <v>45668</v>
      </c>
      <c r="B12" s="3" t="s">
        <v>15</v>
      </c>
      <c r="C12" s="3">
        <v>73</v>
      </c>
      <c r="D12" s="3" t="s">
        <v>16</v>
      </c>
      <c r="E12" s="3" t="s">
        <v>1</v>
      </c>
      <c r="F12" s="84">
        <v>2500</v>
      </c>
      <c r="G12" s="84">
        <v>182500</v>
      </c>
      <c r="H12" s="84">
        <v>5500</v>
      </c>
      <c r="I12" s="84">
        <v>401500</v>
      </c>
      <c r="J12" s="84">
        <v>219000</v>
      </c>
    </row>
    <row r="13" spans="1:10" x14ac:dyDescent="0.35">
      <c r="A13" s="5">
        <v>45669</v>
      </c>
      <c r="B13" s="3" t="s">
        <v>17</v>
      </c>
      <c r="C13" s="3">
        <v>73</v>
      </c>
      <c r="D13" s="3" t="s">
        <v>18</v>
      </c>
      <c r="E13" s="3" t="s">
        <v>19</v>
      </c>
      <c r="F13" s="84">
        <v>1200</v>
      </c>
      <c r="G13" s="84">
        <v>87600</v>
      </c>
      <c r="H13" s="84">
        <v>2500</v>
      </c>
      <c r="I13" s="84">
        <v>182500</v>
      </c>
      <c r="J13" s="84">
        <v>94900</v>
      </c>
    </row>
    <row r="14" spans="1:10" x14ac:dyDescent="0.35">
      <c r="A14" s="5">
        <v>45670</v>
      </c>
      <c r="B14" s="3" t="s">
        <v>20</v>
      </c>
      <c r="C14" s="3">
        <v>90</v>
      </c>
      <c r="D14" s="3" t="s">
        <v>21</v>
      </c>
      <c r="E14" s="3" t="s">
        <v>22</v>
      </c>
      <c r="F14" s="84">
        <v>800</v>
      </c>
      <c r="G14" s="84">
        <v>72000</v>
      </c>
      <c r="H14" s="84">
        <v>1500</v>
      </c>
      <c r="I14" s="84">
        <v>135000</v>
      </c>
      <c r="J14" s="84">
        <v>63000</v>
      </c>
    </row>
    <row r="15" spans="1:10" x14ac:dyDescent="0.35">
      <c r="A15" s="5">
        <v>45671</v>
      </c>
      <c r="B15" s="3" t="s">
        <v>23</v>
      </c>
      <c r="C15" s="3">
        <v>20</v>
      </c>
      <c r="D15" s="3" t="s">
        <v>24</v>
      </c>
      <c r="E15" s="3" t="s">
        <v>25</v>
      </c>
      <c r="F15" s="84">
        <v>1000</v>
      </c>
      <c r="G15" s="84">
        <v>20000</v>
      </c>
      <c r="H15" s="84">
        <v>2000</v>
      </c>
      <c r="I15" s="84">
        <v>40000</v>
      </c>
      <c r="J15" s="84">
        <v>20000</v>
      </c>
    </row>
    <row r="16" spans="1:10" x14ac:dyDescent="0.35">
      <c r="A16" s="5">
        <v>45672</v>
      </c>
      <c r="B16" s="3" t="s">
        <v>26</v>
      </c>
      <c r="C16" s="3">
        <v>98</v>
      </c>
      <c r="D16" s="3" t="s">
        <v>27</v>
      </c>
      <c r="E16" s="3" t="s">
        <v>28</v>
      </c>
      <c r="F16" s="84">
        <v>1000</v>
      </c>
      <c r="G16" s="84">
        <v>98000</v>
      </c>
      <c r="H16" s="84">
        <v>2200</v>
      </c>
      <c r="I16" s="84">
        <v>215600</v>
      </c>
      <c r="J16" s="84">
        <v>117600</v>
      </c>
    </row>
    <row r="17" spans="1:10" x14ac:dyDescent="0.35">
      <c r="A17" s="5">
        <v>45673</v>
      </c>
      <c r="B17" s="3" t="s">
        <v>29</v>
      </c>
      <c r="C17" s="3">
        <v>5</v>
      </c>
      <c r="D17" s="3" t="s">
        <v>30</v>
      </c>
      <c r="E17" s="3" t="s">
        <v>31</v>
      </c>
      <c r="F17" s="84">
        <v>600</v>
      </c>
      <c r="G17" s="84">
        <v>3000</v>
      </c>
      <c r="H17" s="84">
        <v>1200</v>
      </c>
      <c r="I17" s="84">
        <v>6000</v>
      </c>
      <c r="J17" s="84">
        <v>3000</v>
      </c>
    </row>
    <row r="18" spans="1:10" x14ac:dyDescent="0.35">
      <c r="A18" s="5">
        <v>45674</v>
      </c>
      <c r="B18" s="3" t="s">
        <v>32</v>
      </c>
      <c r="C18" s="3">
        <v>23</v>
      </c>
      <c r="D18" s="3" t="s">
        <v>33</v>
      </c>
      <c r="E18" s="3" t="s">
        <v>34</v>
      </c>
      <c r="F18" s="84">
        <v>200</v>
      </c>
      <c r="G18" s="84">
        <v>4600</v>
      </c>
      <c r="H18" s="84">
        <v>550</v>
      </c>
      <c r="I18" s="84">
        <v>12650</v>
      </c>
      <c r="J18" s="84">
        <v>8050</v>
      </c>
    </row>
    <row r="19" spans="1:10" x14ac:dyDescent="0.35">
      <c r="A19" s="5">
        <v>45675</v>
      </c>
      <c r="B19" s="3" t="s">
        <v>35</v>
      </c>
      <c r="C19" s="3">
        <v>30</v>
      </c>
      <c r="D19" s="3" t="s">
        <v>36</v>
      </c>
      <c r="E19" s="3" t="s">
        <v>37</v>
      </c>
      <c r="F19" s="84">
        <v>550</v>
      </c>
      <c r="G19" s="84">
        <v>16500</v>
      </c>
      <c r="H19" s="84">
        <v>1200</v>
      </c>
      <c r="I19" s="84">
        <v>36000</v>
      </c>
      <c r="J19" s="84">
        <v>19500</v>
      </c>
    </row>
    <row r="20" spans="1:10" x14ac:dyDescent="0.35">
      <c r="A20" s="5">
        <v>45676</v>
      </c>
      <c r="B20" s="3" t="s">
        <v>38</v>
      </c>
      <c r="C20" s="3">
        <v>53</v>
      </c>
      <c r="D20" s="3" t="s">
        <v>39</v>
      </c>
      <c r="E20" s="3" t="s">
        <v>40</v>
      </c>
      <c r="F20" s="84">
        <v>1000</v>
      </c>
      <c r="G20" s="84">
        <v>53000</v>
      </c>
      <c r="H20" s="84">
        <v>2200</v>
      </c>
      <c r="I20" s="84">
        <v>116600</v>
      </c>
      <c r="J20" s="84">
        <v>63600</v>
      </c>
    </row>
    <row r="21" spans="1:10" x14ac:dyDescent="0.35">
      <c r="A21" s="5">
        <v>45677</v>
      </c>
      <c r="B21" s="3" t="s">
        <v>41</v>
      </c>
      <c r="C21" s="3">
        <v>78</v>
      </c>
      <c r="D21" s="3" t="s">
        <v>42</v>
      </c>
      <c r="E21" s="3" t="s">
        <v>43</v>
      </c>
      <c r="F21" s="84">
        <v>550</v>
      </c>
      <c r="G21" s="84">
        <v>42900</v>
      </c>
      <c r="H21" s="84">
        <v>650</v>
      </c>
      <c r="I21" s="84">
        <v>50700</v>
      </c>
      <c r="J21" s="84">
        <v>7800</v>
      </c>
    </row>
    <row r="22" spans="1:10" x14ac:dyDescent="0.35">
      <c r="A22" s="5">
        <v>45678</v>
      </c>
      <c r="B22" s="3" t="s">
        <v>15</v>
      </c>
      <c r="C22" s="3">
        <v>11</v>
      </c>
      <c r="D22" s="3" t="s">
        <v>16</v>
      </c>
      <c r="E22" s="3" t="s">
        <v>1</v>
      </c>
      <c r="F22" s="84">
        <v>2500</v>
      </c>
      <c r="G22" s="84">
        <v>27500</v>
      </c>
      <c r="H22" s="84">
        <v>5500</v>
      </c>
      <c r="I22" s="84">
        <v>60500</v>
      </c>
      <c r="J22" s="84">
        <v>33000</v>
      </c>
    </row>
    <row r="23" spans="1:10" x14ac:dyDescent="0.35">
      <c r="A23" s="5">
        <v>45679</v>
      </c>
      <c r="B23" s="3" t="s">
        <v>17</v>
      </c>
      <c r="C23" s="3">
        <v>32</v>
      </c>
      <c r="D23" s="3" t="s">
        <v>18</v>
      </c>
      <c r="E23" s="3" t="s">
        <v>19</v>
      </c>
      <c r="F23" s="84">
        <v>1200</v>
      </c>
      <c r="G23" s="84">
        <v>38400</v>
      </c>
      <c r="H23" s="84">
        <v>2500</v>
      </c>
      <c r="I23" s="84">
        <v>80000</v>
      </c>
      <c r="J23" s="84">
        <v>41600</v>
      </c>
    </row>
    <row r="24" spans="1:10" x14ac:dyDescent="0.35">
      <c r="A24" s="5">
        <v>45680</v>
      </c>
      <c r="B24" s="3" t="s">
        <v>20</v>
      </c>
      <c r="C24" s="3">
        <v>92</v>
      </c>
      <c r="D24" s="3" t="s">
        <v>21</v>
      </c>
      <c r="E24" s="3" t="s">
        <v>22</v>
      </c>
      <c r="F24" s="84">
        <v>800</v>
      </c>
      <c r="G24" s="84">
        <v>73600</v>
      </c>
      <c r="H24" s="84">
        <v>1500</v>
      </c>
      <c r="I24" s="84">
        <v>138000</v>
      </c>
      <c r="J24" s="84">
        <v>64400</v>
      </c>
    </row>
    <row r="25" spans="1:10" x14ac:dyDescent="0.35">
      <c r="A25" s="5">
        <v>45681</v>
      </c>
      <c r="B25" s="3" t="s">
        <v>23</v>
      </c>
      <c r="C25" s="3">
        <v>26</v>
      </c>
      <c r="D25" s="3" t="s">
        <v>24</v>
      </c>
      <c r="E25" s="3" t="s">
        <v>25</v>
      </c>
      <c r="F25" s="84">
        <v>1000</v>
      </c>
      <c r="G25" s="84">
        <v>26000</v>
      </c>
      <c r="H25" s="84">
        <v>2000</v>
      </c>
      <c r="I25" s="84">
        <v>52000</v>
      </c>
      <c r="J25" s="84">
        <v>26000</v>
      </c>
    </row>
    <row r="26" spans="1:10" x14ac:dyDescent="0.35">
      <c r="A26" s="5">
        <v>45682</v>
      </c>
      <c r="B26" s="3" t="s">
        <v>26</v>
      </c>
      <c r="C26" s="3">
        <v>50</v>
      </c>
      <c r="D26" s="3" t="s">
        <v>27</v>
      </c>
      <c r="E26" s="3" t="s">
        <v>28</v>
      </c>
      <c r="F26" s="84">
        <v>1000</v>
      </c>
      <c r="G26" s="84">
        <v>50000</v>
      </c>
      <c r="H26" s="84">
        <v>2200</v>
      </c>
      <c r="I26" s="84">
        <v>110000</v>
      </c>
      <c r="J26" s="84">
        <v>60000</v>
      </c>
    </row>
    <row r="27" spans="1:10" x14ac:dyDescent="0.35">
      <c r="A27" s="5">
        <v>45683</v>
      </c>
      <c r="B27" s="3" t="s">
        <v>29</v>
      </c>
      <c r="C27" s="3">
        <v>76</v>
      </c>
      <c r="D27" s="3" t="s">
        <v>30</v>
      </c>
      <c r="E27" s="3" t="s">
        <v>31</v>
      </c>
      <c r="F27" s="84">
        <v>600</v>
      </c>
      <c r="G27" s="84">
        <v>45600</v>
      </c>
      <c r="H27" s="84">
        <v>1200</v>
      </c>
      <c r="I27" s="84">
        <v>91200</v>
      </c>
      <c r="J27" s="84">
        <v>45600</v>
      </c>
    </row>
    <row r="28" spans="1:10" x14ac:dyDescent="0.35">
      <c r="A28" s="5">
        <v>45684</v>
      </c>
      <c r="B28" s="3" t="s">
        <v>32</v>
      </c>
      <c r="C28" s="3">
        <v>24</v>
      </c>
      <c r="D28" s="3" t="s">
        <v>33</v>
      </c>
      <c r="E28" s="3" t="s">
        <v>34</v>
      </c>
      <c r="F28" s="84">
        <v>200</v>
      </c>
      <c r="G28" s="84">
        <v>4800</v>
      </c>
      <c r="H28" s="84">
        <v>550</v>
      </c>
      <c r="I28" s="84">
        <v>13200</v>
      </c>
      <c r="J28" s="84">
        <v>8400</v>
      </c>
    </row>
    <row r="29" spans="1:10" x14ac:dyDescent="0.35">
      <c r="A29" s="5">
        <v>45685</v>
      </c>
      <c r="B29" s="3" t="s">
        <v>35</v>
      </c>
      <c r="C29" s="3">
        <v>98</v>
      </c>
      <c r="D29" s="3" t="s">
        <v>36</v>
      </c>
      <c r="E29" s="3" t="s">
        <v>37</v>
      </c>
      <c r="F29" s="84">
        <v>550</v>
      </c>
      <c r="G29" s="84">
        <v>53900</v>
      </c>
      <c r="H29" s="84">
        <v>1200</v>
      </c>
      <c r="I29" s="84">
        <v>117600</v>
      </c>
      <c r="J29" s="84">
        <v>63700</v>
      </c>
    </row>
    <row r="30" spans="1:10" x14ac:dyDescent="0.35">
      <c r="A30" s="5">
        <v>45686</v>
      </c>
      <c r="B30" s="3" t="s">
        <v>38</v>
      </c>
      <c r="C30" s="3">
        <v>5</v>
      </c>
      <c r="D30" s="3" t="s">
        <v>39</v>
      </c>
      <c r="E30" s="3" t="s">
        <v>40</v>
      </c>
      <c r="F30" s="84">
        <v>1000</v>
      </c>
      <c r="G30" s="84">
        <v>5000</v>
      </c>
      <c r="H30" s="84">
        <v>2200</v>
      </c>
      <c r="I30" s="84">
        <v>11000</v>
      </c>
      <c r="J30" s="84">
        <v>6000</v>
      </c>
    </row>
    <row r="31" spans="1:10" x14ac:dyDescent="0.35">
      <c r="A31" s="5">
        <v>45687</v>
      </c>
      <c r="B31" s="3" t="s">
        <v>41</v>
      </c>
      <c r="C31" s="3">
        <v>57</v>
      </c>
      <c r="D31" s="3" t="s">
        <v>42</v>
      </c>
      <c r="E31" s="3" t="s">
        <v>43</v>
      </c>
      <c r="F31" s="84">
        <v>550</v>
      </c>
      <c r="G31" s="84">
        <v>31350</v>
      </c>
      <c r="H31" s="84">
        <v>650</v>
      </c>
      <c r="I31" s="84">
        <v>37050</v>
      </c>
      <c r="J31" s="84">
        <v>5700</v>
      </c>
    </row>
    <row r="32" spans="1:10" x14ac:dyDescent="0.35">
      <c r="A32" s="5">
        <v>45688</v>
      </c>
      <c r="B32" s="3" t="s">
        <v>15</v>
      </c>
      <c r="C32" s="3">
        <v>18</v>
      </c>
      <c r="D32" s="3" t="s">
        <v>16</v>
      </c>
      <c r="E32" s="3" t="s">
        <v>1</v>
      </c>
      <c r="F32" s="84">
        <v>2500</v>
      </c>
      <c r="G32" s="84">
        <v>45000</v>
      </c>
      <c r="H32" s="84">
        <v>5500</v>
      </c>
      <c r="I32" s="84">
        <v>99000</v>
      </c>
      <c r="J32" s="84">
        <v>54000</v>
      </c>
    </row>
    <row r="33" spans="1:10" x14ac:dyDescent="0.35">
      <c r="A33" s="5">
        <v>45689</v>
      </c>
      <c r="B33" s="3" t="s">
        <v>17</v>
      </c>
      <c r="C33" s="3">
        <v>76</v>
      </c>
      <c r="D33" s="3" t="s">
        <v>18</v>
      </c>
      <c r="E33" s="3" t="s">
        <v>19</v>
      </c>
      <c r="F33" s="84">
        <v>1200</v>
      </c>
      <c r="G33" s="84">
        <v>91200</v>
      </c>
      <c r="H33" s="84">
        <v>2500</v>
      </c>
      <c r="I33" s="84">
        <v>190000</v>
      </c>
      <c r="J33" s="84">
        <v>98800</v>
      </c>
    </row>
    <row r="34" spans="1:10" x14ac:dyDescent="0.35">
      <c r="A34" s="5">
        <v>45690</v>
      </c>
      <c r="B34" s="3" t="s">
        <v>20</v>
      </c>
      <c r="C34" s="3">
        <v>80</v>
      </c>
      <c r="D34" s="3" t="s">
        <v>21</v>
      </c>
      <c r="E34" s="3" t="s">
        <v>22</v>
      </c>
      <c r="F34" s="84">
        <v>800</v>
      </c>
      <c r="G34" s="84">
        <v>64000</v>
      </c>
      <c r="H34" s="84">
        <v>1500</v>
      </c>
      <c r="I34" s="84">
        <v>120000</v>
      </c>
      <c r="J34" s="84">
        <v>56000</v>
      </c>
    </row>
    <row r="35" spans="1:10" x14ac:dyDescent="0.35">
      <c r="A35" s="5">
        <v>45691</v>
      </c>
      <c r="B35" s="3" t="s">
        <v>23</v>
      </c>
      <c r="C35" s="3">
        <v>69</v>
      </c>
      <c r="D35" s="3" t="s">
        <v>24</v>
      </c>
      <c r="E35" s="3" t="s">
        <v>25</v>
      </c>
      <c r="F35" s="84">
        <v>1000</v>
      </c>
      <c r="G35" s="84">
        <v>69000</v>
      </c>
      <c r="H35" s="84">
        <v>2000</v>
      </c>
      <c r="I35" s="84">
        <v>138000</v>
      </c>
      <c r="J35" s="84">
        <v>69000</v>
      </c>
    </row>
    <row r="36" spans="1:10" x14ac:dyDescent="0.35">
      <c r="A36" s="5">
        <v>45692</v>
      </c>
      <c r="B36" s="3" t="s">
        <v>26</v>
      </c>
      <c r="C36" s="3">
        <v>72</v>
      </c>
      <c r="D36" s="3" t="s">
        <v>27</v>
      </c>
      <c r="E36" s="3" t="s">
        <v>28</v>
      </c>
      <c r="F36" s="84">
        <v>1000</v>
      </c>
      <c r="G36" s="84">
        <v>72000</v>
      </c>
      <c r="H36" s="84">
        <v>2200</v>
      </c>
      <c r="I36" s="84">
        <v>158400</v>
      </c>
      <c r="J36" s="84">
        <v>86400</v>
      </c>
    </row>
    <row r="37" spans="1:10" x14ac:dyDescent="0.35">
      <c r="A37" s="5">
        <v>45693</v>
      </c>
      <c r="B37" s="3" t="s">
        <v>29</v>
      </c>
      <c r="C37" s="3">
        <v>22</v>
      </c>
      <c r="D37" s="3" t="s">
        <v>30</v>
      </c>
      <c r="E37" s="3" t="s">
        <v>31</v>
      </c>
      <c r="F37" s="84">
        <v>600</v>
      </c>
      <c r="G37" s="84">
        <v>13200</v>
      </c>
      <c r="H37" s="84">
        <v>1200</v>
      </c>
      <c r="I37" s="84">
        <v>26400</v>
      </c>
      <c r="J37" s="84">
        <v>13200</v>
      </c>
    </row>
    <row r="38" spans="1:10" x14ac:dyDescent="0.35">
      <c r="A38" s="5">
        <v>45694</v>
      </c>
      <c r="B38" s="3" t="s">
        <v>32</v>
      </c>
      <c r="C38" s="3">
        <v>65</v>
      </c>
      <c r="D38" s="3" t="s">
        <v>33</v>
      </c>
      <c r="E38" s="3" t="s">
        <v>34</v>
      </c>
      <c r="F38" s="84">
        <v>200</v>
      </c>
      <c r="G38" s="84">
        <v>13000</v>
      </c>
      <c r="H38" s="84">
        <v>550</v>
      </c>
      <c r="I38" s="84">
        <v>35750</v>
      </c>
      <c r="J38" s="84">
        <v>22750</v>
      </c>
    </row>
    <row r="39" spans="1:10" x14ac:dyDescent="0.35">
      <c r="A39" s="5">
        <v>45695</v>
      </c>
      <c r="B39" s="3" t="s">
        <v>35</v>
      </c>
      <c r="C39" s="3">
        <v>12</v>
      </c>
      <c r="D39" s="3" t="s">
        <v>36</v>
      </c>
      <c r="E39" s="3" t="s">
        <v>37</v>
      </c>
      <c r="F39" s="84">
        <v>550</v>
      </c>
      <c r="G39" s="84">
        <v>6600</v>
      </c>
      <c r="H39" s="84">
        <v>1200</v>
      </c>
      <c r="I39" s="84">
        <v>14400</v>
      </c>
      <c r="J39" s="84">
        <v>7800</v>
      </c>
    </row>
    <row r="40" spans="1:10" x14ac:dyDescent="0.35">
      <c r="A40" s="5">
        <v>45696</v>
      </c>
      <c r="B40" s="3" t="s">
        <v>38</v>
      </c>
      <c r="C40" s="3">
        <v>45</v>
      </c>
      <c r="D40" s="3" t="s">
        <v>39</v>
      </c>
      <c r="E40" s="3" t="s">
        <v>40</v>
      </c>
      <c r="F40" s="84">
        <v>1000</v>
      </c>
      <c r="G40" s="84">
        <v>45000</v>
      </c>
      <c r="H40" s="84">
        <v>2200</v>
      </c>
      <c r="I40" s="84">
        <v>99000</v>
      </c>
      <c r="J40" s="84">
        <v>54000</v>
      </c>
    </row>
    <row r="41" spans="1:10" x14ac:dyDescent="0.35">
      <c r="A41" s="5">
        <v>45697</v>
      </c>
      <c r="B41" s="3" t="s">
        <v>41</v>
      </c>
      <c r="C41" s="3">
        <v>83</v>
      </c>
      <c r="D41" s="3" t="s">
        <v>42</v>
      </c>
      <c r="E41" s="3" t="s">
        <v>43</v>
      </c>
      <c r="F41" s="84">
        <v>550</v>
      </c>
      <c r="G41" s="84">
        <v>45650</v>
      </c>
      <c r="H41" s="84">
        <v>650</v>
      </c>
      <c r="I41" s="84">
        <v>53950</v>
      </c>
      <c r="J41" s="84">
        <v>8300</v>
      </c>
    </row>
    <row r="42" spans="1:10" x14ac:dyDescent="0.35">
      <c r="A42" s="5">
        <v>45698</v>
      </c>
      <c r="B42" s="3" t="s">
        <v>15</v>
      </c>
      <c r="C42" s="3">
        <v>6</v>
      </c>
      <c r="D42" s="3" t="s">
        <v>16</v>
      </c>
      <c r="E42" s="3" t="s">
        <v>1</v>
      </c>
      <c r="F42" s="84">
        <v>2500</v>
      </c>
      <c r="G42" s="84">
        <v>15000</v>
      </c>
      <c r="H42" s="84">
        <v>5500</v>
      </c>
      <c r="I42" s="84">
        <v>33000</v>
      </c>
      <c r="J42" s="84">
        <v>18000</v>
      </c>
    </row>
    <row r="43" spans="1:10" x14ac:dyDescent="0.35">
      <c r="A43" s="5">
        <v>45699</v>
      </c>
      <c r="B43" s="3" t="s">
        <v>17</v>
      </c>
      <c r="C43" s="3">
        <v>49</v>
      </c>
      <c r="D43" s="3" t="s">
        <v>18</v>
      </c>
      <c r="E43" s="3" t="s">
        <v>19</v>
      </c>
      <c r="F43" s="84">
        <v>1200</v>
      </c>
      <c r="G43" s="84">
        <v>58800</v>
      </c>
      <c r="H43" s="84">
        <v>2500</v>
      </c>
      <c r="I43" s="84">
        <v>122500</v>
      </c>
      <c r="J43" s="84">
        <v>63700</v>
      </c>
    </row>
    <row r="44" spans="1:10" x14ac:dyDescent="0.35">
      <c r="A44" s="5">
        <v>45700</v>
      </c>
      <c r="B44" s="3" t="s">
        <v>20</v>
      </c>
      <c r="C44" s="3">
        <v>13</v>
      </c>
      <c r="D44" s="3" t="s">
        <v>21</v>
      </c>
      <c r="E44" s="3" t="s">
        <v>22</v>
      </c>
      <c r="F44" s="84">
        <v>800</v>
      </c>
      <c r="G44" s="84">
        <v>10400</v>
      </c>
      <c r="H44" s="84">
        <v>1500</v>
      </c>
      <c r="I44" s="84">
        <v>19500</v>
      </c>
      <c r="J44" s="84">
        <v>9100</v>
      </c>
    </row>
    <row r="45" spans="1:10" x14ac:dyDescent="0.35">
      <c r="A45" s="5">
        <v>45701</v>
      </c>
      <c r="B45" s="3" t="s">
        <v>23</v>
      </c>
      <c r="C45" s="3">
        <v>8</v>
      </c>
      <c r="D45" s="3" t="s">
        <v>24</v>
      </c>
      <c r="E45" s="3" t="s">
        <v>25</v>
      </c>
      <c r="F45" s="84">
        <v>1000</v>
      </c>
      <c r="G45" s="84">
        <v>8000</v>
      </c>
      <c r="H45" s="84">
        <v>2000</v>
      </c>
      <c r="I45" s="84">
        <v>16000</v>
      </c>
      <c r="J45" s="84">
        <v>8000</v>
      </c>
    </row>
    <row r="46" spans="1:10" x14ac:dyDescent="0.35">
      <c r="A46" s="5">
        <v>45702</v>
      </c>
      <c r="B46" s="3" t="s">
        <v>26</v>
      </c>
      <c r="C46" s="3">
        <v>83</v>
      </c>
      <c r="D46" s="3" t="s">
        <v>27</v>
      </c>
      <c r="E46" s="3" t="s">
        <v>28</v>
      </c>
      <c r="F46" s="84">
        <v>1000</v>
      </c>
      <c r="G46" s="84">
        <v>83000</v>
      </c>
      <c r="H46" s="84">
        <v>2200</v>
      </c>
      <c r="I46" s="84">
        <v>182600</v>
      </c>
      <c r="J46" s="84">
        <v>99600</v>
      </c>
    </row>
    <row r="47" spans="1:10" x14ac:dyDescent="0.35">
      <c r="A47" s="5">
        <v>45703</v>
      </c>
      <c r="B47" s="3" t="s">
        <v>29</v>
      </c>
      <c r="C47" s="3">
        <v>80</v>
      </c>
      <c r="D47" s="3" t="s">
        <v>30</v>
      </c>
      <c r="E47" s="3" t="s">
        <v>31</v>
      </c>
      <c r="F47" s="84">
        <v>600</v>
      </c>
      <c r="G47" s="84">
        <v>48000</v>
      </c>
      <c r="H47" s="84">
        <v>1200</v>
      </c>
      <c r="I47" s="84">
        <v>96000</v>
      </c>
      <c r="J47" s="84">
        <v>48000</v>
      </c>
    </row>
    <row r="48" spans="1:10" x14ac:dyDescent="0.35">
      <c r="A48" s="5">
        <v>45704</v>
      </c>
      <c r="B48" s="3" t="s">
        <v>32</v>
      </c>
      <c r="C48" s="3">
        <v>61</v>
      </c>
      <c r="D48" s="3" t="s">
        <v>33</v>
      </c>
      <c r="E48" s="3" t="s">
        <v>34</v>
      </c>
      <c r="F48" s="84">
        <v>200</v>
      </c>
      <c r="G48" s="84">
        <v>12200</v>
      </c>
      <c r="H48" s="84">
        <v>550</v>
      </c>
      <c r="I48" s="84">
        <v>33550</v>
      </c>
      <c r="J48" s="84">
        <v>21350</v>
      </c>
    </row>
    <row r="49" spans="1:10" x14ac:dyDescent="0.35">
      <c r="A49" s="5">
        <v>45705</v>
      </c>
      <c r="B49" s="3" t="s">
        <v>35</v>
      </c>
      <c r="C49" s="3">
        <v>31</v>
      </c>
      <c r="D49" s="3" t="s">
        <v>36</v>
      </c>
      <c r="E49" s="3" t="s">
        <v>37</v>
      </c>
      <c r="F49" s="84">
        <v>550</v>
      </c>
      <c r="G49" s="84">
        <v>17050</v>
      </c>
      <c r="H49" s="84">
        <v>1200</v>
      </c>
      <c r="I49" s="84">
        <v>37200</v>
      </c>
      <c r="J49" s="84">
        <v>20150</v>
      </c>
    </row>
    <row r="50" spans="1:10" x14ac:dyDescent="0.35">
      <c r="A50" s="5">
        <v>45706</v>
      </c>
      <c r="B50" s="3" t="s">
        <v>38</v>
      </c>
      <c r="C50" s="3">
        <v>26</v>
      </c>
      <c r="D50" s="3" t="s">
        <v>39</v>
      </c>
      <c r="E50" s="3" t="s">
        <v>40</v>
      </c>
      <c r="F50" s="84">
        <v>1000</v>
      </c>
      <c r="G50" s="84">
        <v>26000</v>
      </c>
      <c r="H50" s="84">
        <v>2200</v>
      </c>
      <c r="I50" s="84">
        <v>57200</v>
      </c>
      <c r="J50" s="84">
        <v>31200</v>
      </c>
    </row>
    <row r="51" spans="1:10" x14ac:dyDescent="0.35">
      <c r="A51" s="5">
        <v>45707</v>
      </c>
      <c r="B51" s="3" t="s">
        <v>41</v>
      </c>
      <c r="C51" s="3">
        <v>93</v>
      </c>
      <c r="D51" s="3" t="s">
        <v>42</v>
      </c>
      <c r="E51" s="3" t="s">
        <v>43</v>
      </c>
      <c r="F51" s="84">
        <v>550</v>
      </c>
      <c r="G51" s="84">
        <v>51150</v>
      </c>
      <c r="H51" s="84">
        <v>650</v>
      </c>
      <c r="I51" s="84">
        <v>60450</v>
      </c>
      <c r="J51" s="84">
        <v>9300</v>
      </c>
    </row>
    <row r="52" spans="1:10" x14ac:dyDescent="0.35">
      <c r="A52" s="5">
        <v>45708</v>
      </c>
      <c r="B52" s="3" t="s">
        <v>15</v>
      </c>
      <c r="C52" s="3">
        <v>70</v>
      </c>
      <c r="D52" s="3" t="s">
        <v>16</v>
      </c>
      <c r="E52" s="3" t="s">
        <v>1</v>
      </c>
      <c r="F52" s="84">
        <v>2500</v>
      </c>
      <c r="G52" s="84">
        <v>175000</v>
      </c>
      <c r="H52" s="84">
        <v>5500</v>
      </c>
      <c r="I52" s="84">
        <v>385000</v>
      </c>
      <c r="J52" s="84">
        <v>210000</v>
      </c>
    </row>
    <row r="53" spans="1:10" x14ac:dyDescent="0.35">
      <c r="A53" s="5">
        <v>45709</v>
      </c>
      <c r="B53" s="3" t="s">
        <v>17</v>
      </c>
      <c r="C53" s="3">
        <v>7</v>
      </c>
      <c r="D53" s="3" t="s">
        <v>18</v>
      </c>
      <c r="E53" s="3" t="s">
        <v>19</v>
      </c>
      <c r="F53" s="84">
        <v>1200</v>
      </c>
      <c r="G53" s="84">
        <v>8400</v>
      </c>
      <c r="H53" s="84">
        <v>2500</v>
      </c>
      <c r="I53" s="84">
        <v>17500</v>
      </c>
      <c r="J53" s="84">
        <v>9100</v>
      </c>
    </row>
    <row r="54" spans="1:10" x14ac:dyDescent="0.35">
      <c r="A54" s="5">
        <v>45710</v>
      </c>
      <c r="B54" s="3" t="s">
        <v>20</v>
      </c>
      <c r="C54" s="3">
        <v>87</v>
      </c>
      <c r="D54" s="3" t="s">
        <v>21</v>
      </c>
      <c r="E54" s="3" t="s">
        <v>22</v>
      </c>
      <c r="F54" s="84">
        <v>800</v>
      </c>
      <c r="G54" s="84">
        <v>69600</v>
      </c>
      <c r="H54" s="84">
        <v>1500</v>
      </c>
      <c r="I54" s="84">
        <v>130500</v>
      </c>
      <c r="J54" s="84">
        <v>60900</v>
      </c>
    </row>
    <row r="55" spans="1:10" x14ac:dyDescent="0.35">
      <c r="A55" s="5">
        <v>45711</v>
      </c>
      <c r="B55" s="3" t="s">
        <v>23</v>
      </c>
      <c r="C55" s="3">
        <v>51</v>
      </c>
      <c r="D55" s="3" t="s">
        <v>24</v>
      </c>
      <c r="E55" s="3" t="s">
        <v>25</v>
      </c>
      <c r="F55" s="84">
        <v>1000</v>
      </c>
      <c r="G55" s="84">
        <v>51000</v>
      </c>
      <c r="H55" s="84">
        <v>2000</v>
      </c>
      <c r="I55" s="84">
        <v>102000</v>
      </c>
      <c r="J55" s="84">
        <v>51000</v>
      </c>
    </row>
    <row r="56" spans="1:10" x14ac:dyDescent="0.35">
      <c r="A56" s="5">
        <v>45712</v>
      </c>
      <c r="B56" s="3" t="s">
        <v>26</v>
      </c>
      <c r="C56" s="3">
        <v>100</v>
      </c>
      <c r="D56" s="3" t="s">
        <v>27</v>
      </c>
      <c r="E56" s="3" t="s">
        <v>28</v>
      </c>
      <c r="F56" s="84">
        <v>1000</v>
      </c>
      <c r="G56" s="84">
        <v>100000</v>
      </c>
      <c r="H56" s="84">
        <v>2200</v>
      </c>
      <c r="I56" s="84">
        <v>220000</v>
      </c>
      <c r="J56" s="84">
        <v>120000</v>
      </c>
    </row>
    <row r="57" spans="1:10" x14ac:dyDescent="0.35">
      <c r="A57" s="5">
        <v>45713</v>
      </c>
      <c r="B57" s="3" t="s">
        <v>29</v>
      </c>
      <c r="C57" s="3">
        <v>90</v>
      </c>
      <c r="D57" s="3" t="s">
        <v>30</v>
      </c>
      <c r="E57" s="3" t="s">
        <v>31</v>
      </c>
      <c r="F57" s="84">
        <v>600</v>
      </c>
      <c r="G57" s="84">
        <v>54000</v>
      </c>
      <c r="H57" s="84">
        <v>1200</v>
      </c>
      <c r="I57" s="84">
        <v>108000</v>
      </c>
      <c r="J57" s="84">
        <v>54000</v>
      </c>
    </row>
    <row r="58" spans="1:10" x14ac:dyDescent="0.35">
      <c r="A58" s="5">
        <v>45714</v>
      </c>
      <c r="B58" s="3" t="s">
        <v>32</v>
      </c>
      <c r="C58" s="3">
        <v>96</v>
      </c>
      <c r="D58" s="3" t="s">
        <v>33</v>
      </c>
      <c r="E58" s="3" t="s">
        <v>34</v>
      </c>
      <c r="F58" s="84">
        <v>200</v>
      </c>
      <c r="G58" s="84">
        <v>19200</v>
      </c>
      <c r="H58" s="84">
        <v>550</v>
      </c>
      <c r="I58" s="84">
        <v>52800</v>
      </c>
      <c r="J58" s="84">
        <v>33600</v>
      </c>
    </row>
    <row r="59" spans="1:10" x14ac:dyDescent="0.35">
      <c r="A59" s="5">
        <v>45715</v>
      </c>
      <c r="B59" s="3" t="s">
        <v>35</v>
      </c>
      <c r="C59" s="3">
        <v>88</v>
      </c>
      <c r="D59" s="3" t="s">
        <v>36</v>
      </c>
      <c r="E59" s="3" t="s">
        <v>37</v>
      </c>
      <c r="F59" s="84">
        <v>550</v>
      </c>
      <c r="G59" s="84">
        <v>48400</v>
      </c>
      <c r="H59" s="84">
        <v>1200</v>
      </c>
      <c r="I59" s="84">
        <v>105600</v>
      </c>
      <c r="J59" s="84">
        <v>57200</v>
      </c>
    </row>
    <row r="60" spans="1:10" x14ac:dyDescent="0.35">
      <c r="A60" s="5">
        <v>45716</v>
      </c>
      <c r="B60" s="3" t="s">
        <v>38</v>
      </c>
      <c r="C60" s="3">
        <v>92</v>
      </c>
      <c r="D60" s="3" t="s">
        <v>39</v>
      </c>
      <c r="E60" s="3" t="s">
        <v>40</v>
      </c>
      <c r="F60" s="84">
        <v>1000</v>
      </c>
      <c r="G60" s="84">
        <v>92000</v>
      </c>
      <c r="H60" s="84">
        <v>2200</v>
      </c>
      <c r="I60" s="84">
        <v>202400</v>
      </c>
      <c r="J60" s="84">
        <v>110400</v>
      </c>
    </row>
    <row r="61" spans="1:10" x14ac:dyDescent="0.35">
      <c r="A61" s="5">
        <v>45717</v>
      </c>
      <c r="B61" s="3" t="s">
        <v>41</v>
      </c>
      <c r="C61" s="3">
        <v>14</v>
      </c>
      <c r="D61" s="3" t="s">
        <v>42</v>
      </c>
      <c r="E61" s="3" t="s">
        <v>43</v>
      </c>
      <c r="F61" s="84">
        <v>550</v>
      </c>
      <c r="G61" s="84">
        <v>7700</v>
      </c>
      <c r="H61" s="84">
        <v>650</v>
      </c>
      <c r="I61" s="84">
        <v>9100</v>
      </c>
      <c r="J61" s="84">
        <v>1400</v>
      </c>
    </row>
    <row r="62" spans="1:10" x14ac:dyDescent="0.35">
      <c r="A62" s="5">
        <v>45718</v>
      </c>
      <c r="B62" s="3" t="s">
        <v>15</v>
      </c>
      <c r="C62" s="3">
        <v>54</v>
      </c>
      <c r="D62" s="3" t="s">
        <v>16</v>
      </c>
      <c r="E62" s="3" t="s">
        <v>1</v>
      </c>
      <c r="F62" s="84">
        <v>2500</v>
      </c>
      <c r="G62" s="84">
        <v>135000</v>
      </c>
      <c r="H62" s="84">
        <v>5500</v>
      </c>
      <c r="I62" s="84">
        <v>297000</v>
      </c>
      <c r="J62" s="84">
        <v>162000</v>
      </c>
    </row>
    <row r="63" spans="1:10" x14ac:dyDescent="0.35">
      <c r="A63" s="5">
        <v>45719</v>
      </c>
      <c r="B63" s="3" t="s">
        <v>17</v>
      </c>
      <c r="C63" s="3">
        <v>48</v>
      </c>
      <c r="D63" s="3" t="s">
        <v>18</v>
      </c>
      <c r="E63" s="3" t="s">
        <v>19</v>
      </c>
      <c r="F63" s="84">
        <v>1200</v>
      </c>
      <c r="G63" s="84">
        <v>57600</v>
      </c>
      <c r="H63" s="84">
        <v>2500</v>
      </c>
      <c r="I63" s="84">
        <v>120000</v>
      </c>
      <c r="J63" s="84">
        <v>62400</v>
      </c>
    </row>
    <row r="64" spans="1:10" x14ac:dyDescent="0.35">
      <c r="A64" s="5">
        <v>45720</v>
      </c>
      <c r="B64" s="3" t="s">
        <v>20</v>
      </c>
      <c r="C64" s="3">
        <v>32</v>
      </c>
      <c r="D64" s="3" t="s">
        <v>21</v>
      </c>
      <c r="E64" s="3" t="s">
        <v>22</v>
      </c>
      <c r="F64" s="84">
        <v>800</v>
      </c>
      <c r="G64" s="84">
        <v>25600</v>
      </c>
      <c r="H64" s="84">
        <v>1500</v>
      </c>
      <c r="I64" s="84">
        <v>48000</v>
      </c>
      <c r="J64" s="84">
        <v>22400</v>
      </c>
    </row>
    <row r="65" spans="1:10" x14ac:dyDescent="0.35">
      <c r="A65" s="5">
        <v>45721</v>
      </c>
      <c r="B65" s="3" t="s">
        <v>23</v>
      </c>
      <c r="C65" s="3">
        <v>24</v>
      </c>
      <c r="D65" s="3" t="s">
        <v>24</v>
      </c>
      <c r="E65" s="3" t="s">
        <v>25</v>
      </c>
      <c r="F65" s="84">
        <v>1000</v>
      </c>
      <c r="G65" s="84">
        <v>24000</v>
      </c>
      <c r="H65" s="84">
        <v>2000</v>
      </c>
      <c r="I65" s="84">
        <v>48000</v>
      </c>
      <c r="J65" s="84">
        <v>24000</v>
      </c>
    </row>
    <row r="66" spans="1:10" x14ac:dyDescent="0.35">
      <c r="A66" s="5">
        <v>45722</v>
      </c>
      <c r="B66" s="3" t="s">
        <v>26</v>
      </c>
      <c r="C66" s="3">
        <v>17</v>
      </c>
      <c r="D66" s="3" t="s">
        <v>27</v>
      </c>
      <c r="E66" s="3" t="s">
        <v>28</v>
      </c>
      <c r="F66" s="84">
        <v>1000</v>
      </c>
      <c r="G66" s="84">
        <v>17000</v>
      </c>
      <c r="H66" s="84">
        <v>2200</v>
      </c>
      <c r="I66" s="84">
        <v>37400</v>
      </c>
      <c r="J66" s="84">
        <v>20400</v>
      </c>
    </row>
    <row r="67" spans="1:10" x14ac:dyDescent="0.35">
      <c r="A67" s="5">
        <v>45723</v>
      </c>
      <c r="B67" s="3" t="s">
        <v>29</v>
      </c>
      <c r="C67" s="3">
        <v>32</v>
      </c>
      <c r="D67" s="3" t="s">
        <v>30</v>
      </c>
      <c r="E67" s="3" t="s">
        <v>31</v>
      </c>
      <c r="F67" s="84">
        <v>600</v>
      </c>
      <c r="G67" s="84">
        <v>19200</v>
      </c>
      <c r="H67" s="84">
        <v>1200</v>
      </c>
      <c r="I67" s="84">
        <v>38400</v>
      </c>
      <c r="J67" s="84">
        <v>19200</v>
      </c>
    </row>
    <row r="68" spans="1:10" x14ac:dyDescent="0.35">
      <c r="A68" s="5">
        <v>45724</v>
      </c>
      <c r="B68" s="3" t="s">
        <v>32</v>
      </c>
      <c r="C68" s="3">
        <v>66</v>
      </c>
      <c r="D68" s="3" t="s">
        <v>33</v>
      </c>
      <c r="E68" s="3" t="s">
        <v>34</v>
      </c>
      <c r="F68" s="84">
        <v>200</v>
      </c>
      <c r="G68" s="84">
        <v>13200</v>
      </c>
      <c r="H68" s="84">
        <v>550</v>
      </c>
      <c r="I68" s="84">
        <v>36300</v>
      </c>
      <c r="J68" s="84">
        <v>23100</v>
      </c>
    </row>
    <row r="69" spans="1:10" x14ac:dyDescent="0.35">
      <c r="A69" s="5">
        <v>45725</v>
      </c>
      <c r="B69" s="3" t="s">
        <v>35</v>
      </c>
      <c r="C69" s="3">
        <v>100</v>
      </c>
      <c r="D69" s="3" t="s">
        <v>36</v>
      </c>
      <c r="E69" s="3" t="s">
        <v>37</v>
      </c>
      <c r="F69" s="84">
        <v>550</v>
      </c>
      <c r="G69" s="84">
        <v>55000</v>
      </c>
      <c r="H69" s="84">
        <v>1200</v>
      </c>
      <c r="I69" s="84">
        <v>120000</v>
      </c>
      <c r="J69" s="84">
        <v>65000</v>
      </c>
    </row>
    <row r="70" spans="1:10" x14ac:dyDescent="0.35">
      <c r="A70" s="5">
        <v>45726</v>
      </c>
      <c r="B70" s="3" t="s">
        <v>38</v>
      </c>
      <c r="C70" s="3">
        <v>47</v>
      </c>
      <c r="D70" s="3" t="s">
        <v>39</v>
      </c>
      <c r="E70" s="3" t="s">
        <v>40</v>
      </c>
      <c r="F70" s="84">
        <v>1000</v>
      </c>
      <c r="G70" s="84">
        <v>47000</v>
      </c>
      <c r="H70" s="84">
        <v>2200</v>
      </c>
      <c r="I70" s="84">
        <v>103400</v>
      </c>
      <c r="J70" s="84">
        <v>56400</v>
      </c>
    </row>
    <row r="71" spans="1:10" x14ac:dyDescent="0.35">
      <c r="A71" s="5">
        <v>45727</v>
      </c>
      <c r="B71" s="3" t="s">
        <v>41</v>
      </c>
      <c r="C71" s="3">
        <v>58</v>
      </c>
      <c r="D71" s="3" t="s">
        <v>42</v>
      </c>
      <c r="E71" s="3" t="s">
        <v>43</v>
      </c>
      <c r="F71" s="84">
        <v>550</v>
      </c>
      <c r="G71" s="84">
        <v>31900</v>
      </c>
      <c r="H71" s="84">
        <v>650</v>
      </c>
      <c r="I71" s="84">
        <v>37700</v>
      </c>
      <c r="J71" s="84">
        <v>5800</v>
      </c>
    </row>
    <row r="72" spans="1:10" x14ac:dyDescent="0.35">
      <c r="A72" s="5">
        <v>45728</v>
      </c>
      <c r="B72" s="3" t="s">
        <v>15</v>
      </c>
      <c r="C72" s="3">
        <v>10</v>
      </c>
      <c r="D72" s="3" t="s">
        <v>16</v>
      </c>
      <c r="E72" s="3" t="s">
        <v>1</v>
      </c>
      <c r="F72" s="84">
        <v>2500</v>
      </c>
      <c r="G72" s="84">
        <v>25000</v>
      </c>
      <c r="H72" s="84">
        <v>5500</v>
      </c>
      <c r="I72" s="84">
        <v>55000</v>
      </c>
      <c r="J72" s="84">
        <v>30000</v>
      </c>
    </row>
    <row r="73" spans="1:10" x14ac:dyDescent="0.35">
      <c r="A73" s="5">
        <v>45729</v>
      </c>
      <c r="B73" s="3" t="s">
        <v>17</v>
      </c>
      <c r="C73" s="3">
        <v>42</v>
      </c>
      <c r="D73" s="3" t="s">
        <v>18</v>
      </c>
      <c r="E73" s="3" t="s">
        <v>19</v>
      </c>
      <c r="F73" s="84">
        <v>1200</v>
      </c>
      <c r="G73" s="84">
        <v>50400</v>
      </c>
      <c r="H73" s="84">
        <v>2500</v>
      </c>
      <c r="I73" s="84">
        <v>105000</v>
      </c>
      <c r="J73" s="84">
        <v>54600</v>
      </c>
    </row>
    <row r="74" spans="1:10" x14ac:dyDescent="0.35">
      <c r="A74" s="5">
        <v>45730</v>
      </c>
      <c r="B74" s="3" t="s">
        <v>20</v>
      </c>
      <c r="C74" s="3">
        <v>41</v>
      </c>
      <c r="D74" s="3" t="s">
        <v>21</v>
      </c>
      <c r="E74" s="3" t="s">
        <v>22</v>
      </c>
      <c r="F74" s="84">
        <v>800</v>
      </c>
      <c r="G74" s="84">
        <v>32800</v>
      </c>
      <c r="H74" s="84">
        <v>1500</v>
      </c>
      <c r="I74" s="84">
        <v>61500</v>
      </c>
      <c r="J74" s="84">
        <v>28700</v>
      </c>
    </row>
    <row r="75" spans="1:10" x14ac:dyDescent="0.35">
      <c r="A75" s="5">
        <v>45731</v>
      </c>
      <c r="B75" s="3" t="s">
        <v>23</v>
      </c>
      <c r="C75" s="3">
        <v>28</v>
      </c>
      <c r="D75" s="3" t="s">
        <v>24</v>
      </c>
      <c r="E75" s="3" t="s">
        <v>25</v>
      </c>
      <c r="F75" s="84">
        <v>1000</v>
      </c>
      <c r="G75" s="84">
        <v>28000</v>
      </c>
      <c r="H75" s="84">
        <v>2000</v>
      </c>
      <c r="I75" s="84">
        <v>56000</v>
      </c>
      <c r="J75" s="84">
        <v>28000</v>
      </c>
    </row>
    <row r="76" spans="1:10" x14ac:dyDescent="0.35">
      <c r="A76" s="5">
        <v>45732</v>
      </c>
      <c r="B76" s="3" t="s">
        <v>26</v>
      </c>
      <c r="C76" s="3">
        <v>20</v>
      </c>
      <c r="D76" s="3" t="s">
        <v>27</v>
      </c>
      <c r="E76" s="3" t="s">
        <v>28</v>
      </c>
      <c r="F76" s="84">
        <v>1000</v>
      </c>
      <c r="G76" s="84">
        <v>20000</v>
      </c>
      <c r="H76" s="84">
        <v>2200</v>
      </c>
      <c r="I76" s="84">
        <v>44000</v>
      </c>
      <c r="J76" s="84">
        <v>24000</v>
      </c>
    </row>
    <row r="77" spans="1:10" x14ac:dyDescent="0.35">
      <c r="A77" s="5">
        <v>45733</v>
      </c>
      <c r="B77" s="3" t="s">
        <v>29</v>
      </c>
      <c r="C77" s="3">
        <v>84</v>
      </c>
      <c r="D77" s="3" t="s">
        <v>30</v>
      </c>
      <c r="E77" s="3" t="s">
        <v>31</v>
      </c>
      <c r="F77" s="84">
        <v>600</v>
      </c>
      <c r="G77" s="84">
        <v>50400</v>
      </c>
      <c r="H77" s="84">
        <v>1200</v>
      </c>
      <c r="I77" s="84">
        <v>100800</v>
      </c>
      <c r="J77" s="84">
        <v>50400</v>
      </c>
    </row>
    <row r="78" spans="1:10" x14ac:dyDescent="0.35">
      <c r="A78" s="5">
        <v>45734</v>
      </c>
      <c r="B78" s="3" t="s">
        <v>32</v>
      </c>
      <c r="C78" s="3">
        <v>30</v>
      </c>
      <c r="D78" s="3" t="s">
        <v>33</v>
      </c>
      <c r="E78" s="3" t="s">
        <v>34</v>
      </c>
      <c r="F78" s="84">
        <v>200</v>
      </c>
      <c r="G78" s="84">
        <v>6000</v>
      </c>
      <c r="H78" s="84">
        <v>550</v>
      </c>
      <c r="I78" s="84">
        <v>16500</v>
      </c>
      <c r="J78" s="84">
        <v>10500</v>
      </c>
    </row>
    <row r="79" spans="1:10" x14ac:dyDescent="0.35">
      <c r="A79" s="5">
        <v>45735</v>
      </c>
      <c r="B79" s="3" t="s">
        <v>35</v>
      </c>
      <c r="C79" s="3">
        <v>76</v>
      </c>
      <c r="D79" s="3" t="s">
        <v>36</v>
      </c>
      <c r="E79" s="3" t="s">
        <v>37</v>
      </c>
      <c r="F79" s="84">
        <v>550</v>
      </c>
      <c r="G79" s="84">
        <v>41800</v>
      </c>
      <c r="H79" s="84">
        <v>1200</v>
      </c>
      <c r="I79" s="84">
        <v>91200</v>
      </c>
      <c r="J79" s="84">
        <v>49400</v>
      </c>
    </row>
    <row r="80" spans="1:10" x14ac:dyDescent="0.35">
      <c r="A80" s="5">
        <v>45736</v>
      </c>
      <c r="B80" s="3" t="s">
        <v>38</v>
      </c>
      <c r="C80" s="3">
        <v>26</v>
      </c>
      <c r="D80" s="3" t="s">
        <v>39</v>
      </c>
      <c r="E80" s="3" t="s">
        <v>40</v>
      </c>
      <c r="F80" s="84">
        <v>1000</v>
      </c>
      <c r="G80" s="84">
        <v>26000</v>
      </c>
      <c r="H80" s="84">
        <v>2200</v>
      </c>
      <c r="I80" s="84">
        <v>57200</v>
      </c>
      <c r="J80" s="84">
        <v>31200</v>
      </c>
    </row>
    <row r="81" spans="1:10" x14ac:dyDescent="0.35">
      <c r="A81" s="5">
        <v>45737</v>
      </c>
      <c r="B81" s="3" t="s">
        <v>41</v>
      </c>
      <c r="C81" s="3">
        <v>50</v>
      </c>
      <c r="D81" s="3" t="s">
        <v>42</v>
      </c>
      <c r="E81" s="3" t="s">
        <v>43</v>
      </c>
      <c r="F81" s="84">
        <v>550</v>
      </c>
      <c r="G81" s="84">
        <v>27500</v>
      </c>
      <c r="H81" s="84">
        <v>650</v>
      </c>
      <c r="I81" s="84">
        <v>32500</v>
      </c>
      <c r="J81" s="84">
        <v>5000</v>
      </c>
    </row>
    <row r="82" spans="1:10" x14ac:dyDescent="0.35">
      <c r="A82" s="5">
        <v>45738</v>
      </c>
      <c r="B82" s="3" t="s">
        <v>15</v>
      </c>
      <c r="C82" s="3">
        <v>15</v>
      </c>
      <c r="D82" s="3" t="s">
        <v>16</v>
      </c>
      <c r="E82" s="3" t="s">
        <v>1</v>
      </c>
      <c r="F82" s="84">
        <v>2500</v>
      </c>
      <c r="G82" s="84">
        <v>37500</v>
      </c>
      <c r="H82" s="84">
        <v>5500</v>
      </c>
      <c r="I82" s="84">
        <v>82500</v>
      </c>
      <c r="J82" s="84">
        <v>45000</v>
      </c>
    </row>
    <row r="83" spans="1:10" x14ac:dyDescent="0.35">
      <c r="A83" s="5">
        <v>45739</v>
      </c>
      <c r="B83" s="3" t="s">
        <v>17</v>
      </c>
      <c r="C83" s="3">
        <v>9</v>
      </c>
      <c r="D83" s="3" t="s">
        <v>18</v>
      </c>
      <c r="E83" s="3" t="s">
        <v>19</v>
      </c>
      <c r="F83" s="84">
        <v>1200</v>
      </c>
      <c r="G83" s="84">
        <v>10800</v>
      </c>
      <c r="H83" s="84">
        <v>2500</v>
      </c>
      <c r="I83" s="84">
        <v>22500</v>
      </c>
      <c r="J83" s="84">
        <v>11700</v>
      </c>
    </row>
    <row r="84" spans="1:10" x14ac:dyDescent="0.35">
      <c r="A84" s="5">
        <v>45740</v>
      </c>
      <c r="B84" s="3" t="s">
        <v>20</v>
      </c>
      <c r="C84" s="3">
        <v>97</v>
      </c>
      <c r="D84" s="3" t="s">
        <v>21</v>
      </c>
      <c r="E84" s="3" t="s">
        <v>22</v>
      </c>
      <c r="F84" s="84">
        <v>800</v>
      </c>
      <c r="G84" s="84">
        <v>77600</v>
      </c>
      <c r="H84" s="84">
        <v>1500</v>
      </c>
      <c r="I84" s="84">
        <v>145500</v>
      </c>
      <c r="J84" s="84">
        <v>67900</v>
      </c>
    </row>
    <row r="85" spans="1:10" x14ac:dyDescent="0.35">
      <c r="A85" s="5">
        <v>45741</v>
      </c>
      <c r="B85" s="3" t="s">
        <v>23</v>
      </c>
      <c r="C85" s="3">
        <v>65</v>
      </c>
      <c r="D85" s="3" t="s">
        <v>24</v>
      </c>
      <c r="E85" s="3" t="s">
        <v>25</v>
      </c>
      <c r="F85" s="84">
        <v>1000</v>
      </c>
      <c r="G85" s="84">
        <v>65000</v>
      </c>
      <c r="H85" s="84">
        <v>2000</v>
      </c>
      <c r="I85" s="84">
        <v>130000</v>
      </c>
      <c r="J85" s="84">
        <v>65000</v>
      </c>
    </row>
    <row r="86" spans="1:10" x14ac:dyDescent="0.35">
      <c r="A86" s="5">
        <v>45742</v>
      </c>
      <c r="B86" s="3" t="s">
        <v>26</v>
      </c>
      <c r="C86" s="3">
        <v>79</v>
      </c>
      <c r="D86" s="3" t="s">
        <v>27</v>
      </c>
      <c r="E86" s="3" t="s">
        <v>28</v>
      </c>
      <c r="F86" s="84">
        <v>1000</v>
      </c>
      <c r="G86" s="84">
        <v>79000</v>
      </c>
      <c r="H86" s="84">
        <v>2200</v>
      </c>
      <c r="I86" s="84">
        <v>173800</v>
      </c>
      <c r="J86" s="84">
        <v>94800</v>
      </c>
    </row>
    <row r="87" spans="1:10" x14ac:dyDescent="0.35">
      <c r="A87" s="5">
        <v>45743</v>
      </c>
      <c r="B87" s="3" t="s">
        <v>29</v>
      </c>
      <c r="C87" s="3">
        <v>19</v>
      </c>
      <c r="D87" s="3" t="s">
        <v>30</v>
      </c>
      <c r="E87" s="3" t="s">
        <v>31</v>
      </c>
      <c r="F87" s="84">
        <v>600</v>
      </c>
      <c r="G87" s="84">
        <v>11400</v>
      </c>
      <c r="H87" s="84">
        <v>1200</v>
      </c>
      <c r="I87" s="84">
        <v>22800</v>
      </c>
      <c r="J87" s="84">
        <v>11400</v>
      </c>
    </row>
    <row r="88" spans="1:10" x14ac:dyDescent="0.35">
      <c r="A88" s="5">
        <v>45744</v>
      </c>
      <c r="B88" s="3" t="s">
        <v>32</v>
      </c>
      <c r="C88" s="3">
        <v>75</v>
      </c>
      <c r="D88" s="3" t="s">
        <v>33</v>
      </c>
      <c r="E88" s="3" t="s">
        <v>34</v>
      </c>
      <c r="F88" s="84">
        <v>200</v>
      </c>
      <c r="G88" s="84">
        <v>15000</v>
      </c>
      <c r="H88" s="84">
        <v>550</v>
      </c>
      <c r="I88" s="84">
        <v>41250</v>
      </c>
      <c r="J88" s="84">
        <v>26250</v>
      </c>
    </row>
    <row r="89" spans="1:10" x14ac:dyDescent="0.35">
      <c r="A89" s="5">
        <v>45745</v>
      </c>
      <c r="B89" s="3" t="s">
        <v>35</v>
      </c>
      <c r="C89" s="3">
        <v>71</v>
      </c>
      <c r="D89" s="3" t="s">
        <v>36</v>
      </c>
      <c r="E89" s="3" t="s">
        <v>37</v>
      </c>
      <c r="F89" s="84">
        <v>550</v>
      </c>
      <c r="G89" s="84">
        <v>39050</v>
      </c>
      <c r="H89" s="84">
        <v>1200</v>
      </c>
      <c r="I89" s="84">
        <v>85200</v>
      </c>
      <c r="J89" s="84">
        <v>46150</v>
      </c>
    </row>
    <row r="90" spans="1:10" x14ac:dyDescent="0.35">
      <c r="A90" s="5">
        <v>45746</v>
      </c>
      <c r="B90" s="3" t="s">
        <v>38</v>
      </c>
      <c r="C90" s="3">
        <v>52</v>
      </c>
      <c r="D90" s="3" t="s">
        <v>39</v>
      </c>
      <c r="E90" s="3" t="s">
        <v>40</v>
      </c>
      <c r="F90" s="84">
        <v>1000</v>
      </c>
      <c r="G90" s="84">
        <v>52000</v>
      </c>
      <c r="H90" s="84">
        <v>2200</v>
      </c>
      <c r="I90" s="84">
        <v>114400</v>
      </c>
      <c r="J90" s="84">
        <v>62400</v>
      </c>
    </row>
    <row r="91" spans="1:10" x14ac:dyDescent="0.35">
      <c r="A91" s="5">
        <v>45747</v>
      </c>
      <c r="B91" s="3" t="s">
        <v>41</v>
      </c>
      <c r="C91" s="3">
        <v>83</v>
      </c>
      <c r="D91" s="3" t="s">
        <v>42</v>
      </c>
      <c r="E91" s="3" t="s">
        <v>43</v>
      </c>
      <c r="F91" s="84">
        <v>550</v>
      </c>
      <c r="G91" s="84">
        <v>45650</v>
      </c>
      <c r="H91" s="84">
        <v>650</v>
      </c>
      <c r="I91" s="84">
        <v>53950</v>
      </c>
      <c r="J91" s="84">
        <v>8300</v>
      </c>
    </row>
    <row r="92" spans="1:10" x14ac:dyDescent="0.35">
      <c r="A92" s="5">
        <v>45748</v>
      </c>
      <c r="B92" s="3" t="s">
        <v>15</v>
      </c>
      <c r="C92" s="3">
        <v>8</v>
      </c>
      <c r="D92" s="3" t="s">
        <v>16</v>
      </c>
      <c r="E92" s="3" t="s">
        <v>1</v>
      </c>
      <c r="F92" s="84">
        <v>2500</v>
      </c>
      <c r="G92" s="84">
        <v>20000</v>
      </c>
      <c r="H92" s="84">
        <v>5500</v>
      </c>
      <c r="I92" s="84">
        <v>44000</v>
      </c>
      <c r="J92" s="84">
        <v>24000</v>
      </c>
    </row>
    <row r="93" spans="1:10" x14ac:dyDescent="0.35">
      <c r="A93" s="5">
        <v>45749</v>
      </c>
      <c r="B93" s="3" t="s">
        <v>17</v>
      </c>
      <c r="C93" s="3">
        <v>78</v>
      </c>
      <c r="D93" s="3" t="s">
        <v>18</v>
      </c>
      <c r="E93" s="3" t="s">
        <v>19</v>
      </c>
      <c r="F93" s="84">
        <v>1200</v>
      </c>
      <c r="G93" s="84">
        <v>93600</v>
      </c>
      <c r="H93" s="84">
        <v>2500</v>
      </c>
      <c r="I93" s="84">
        <v>195000</v>
      </c>
      <c r="J93" s="84">
        <v>101400</v>
      </c>
    </row>
    <row r="94" spans="1:10" x14ac:dyDescent="0.35">
      <c r="A94" s="5">
        <v>45750</v>
      </c>
      <c r="B94" s="3" t="s">
        <v>20</v>
      </c>
      <c r="C94" s="3">
        <v>32</v>
      </c>
      <c r="D94" s="3" t="s">
        <v>21</v>
      </c>
      <c r="E94" s="3" t="s">
        <v>22</v>
      </c>
      <c r="F94" s="84">
        <v>800</v>
      </c>
      <c r="G94" s="84">
        <v>25600</v>
      </c>
      <c r="H94" s="84">
        <v>1500</v>
      </c>
      <c r="I94" s="84">
        <v>48000</v>
      </c>
      <c r="J94" s="84">
        <v>22400</v>
      </c>
    </row>
    <row r="95" spans="1:10" x14ac:dyDescent="0.35">
      <c r="A95" s="5">
        <v>45751</v>
      </c>
      <c r="B95" s="3" t="s">
        <v>23</v>
      </c>
      <c r="C95" s="3">
        <v>83</v>
      </c>
      <c r="D95" s="3" t="s">
        <v>24</v>
      </c>
      <c r="E95" s="3" t="s">
        <v>25</v>
      </c>
      <c r="F95" s="84">
        <v>1000</v>
      </c>
      <c r="G95" s="84">
        <v>83000</v>
      </c>
      <c r="H95" s="84">
        <v>2000</v>
      </c>
      <c r="I95" s="84">
        <v>166000</v>
      </c>
      <c r="J95" s="84">
        <v>83000</v>
      </c>
    </row>
    <row r="96" spans="1:10" x14ac:dyDescent="0.35">
      <c r="A96" s="5">
        <v>45752</v>
      </c>
      <c r="B96" s="3" t="s">
        <v>26</v>
      </c>
      <c r="C96" s="3">
        <v>32</v>
      </c>
      <c r="D96" s="3" t="s">
        <v>27</v>
      </c>
      <c r="E96" s="3" t="s">
        <v>28</v>
      </c>
      <c r="F96" s="84">
        <v>1000</v>
      </c>
      <c r="G96" s="84">
        <v>32000</v>
      </c>
      <c r="H96" s="84">
        <v>2200</v>
      </c>
      <c r="I96" s="84">
        <v>70400</v>
      </c>
      <c r="J96" s="84">
        <v>38400</v>
      </c>
    </row>
    <row r="97" spans="1:10" x14ac:dyDescent="0.35">
      <c r="A97" s="5">
        <v>45753</v>
      </c>
      <c r="B97" s="3" t="s">
        <v>29</v>
      </c>
      <c r="C97" s="3">
        <v>8</v>
      </c>
      <c r="D97" s="3" t="s">
        <v>30</v>
      </c>
      <c r="E97" s="3" t="s">
        <v>31</v>
      </c>
      <c r="F97" s="84">
        <v>600</v>
      </c>
      <c r="G97" s="84">
        <v>4800</v>
      </c>
      <c r="H97" s="84">
        <v>1200</v>
      </c>
      <c r="I97" s="84">
        <v>9600</v>
      </c>
      <c r="J97" s="84">
        <v>4800</v>
      </c>
    </row>
    <row r="98" spans="1:10" x14ac:dyDescent="0.35">
      <c r="A98" s="5">
        <v>45754</v>
      </c>
      <c r="B98" s="3" t="s">
        <v>32</v>
      </c>
      <c r="C98" s="3">
        <v>12</v>
      </c>
      <c r="D98" s="3" t="s">
        <v>33</v>
      </c>
      <c r="E98" s="3" t="s">
        <v>34</v>
      </c>
      <c r="F98" s="84">
        <v>200</v>
      </c>
      <c r="G98" s="84">
        <v>2400</v>
      </c>
      <c r="H98" s="84">
        <v>550</v>
      </c>
      <c r="I98" s="84">
        <v>6600</v>
      </c>
      <c r="J98" s="84">
        <v>4200</v>
      </c>
    </row>
    <row r="99" spans="1:10" x14ac:dyDescent="0.35">
      <c r="A99" s="5">
        <v>45755</v>
      </c>
      <c r="B99" s="3" t="s">
        <v>35</v>
      </c>
      <c r="C99" s="3">
        <v>36</v>
      </c>
      <c r="D99" s="3" t="s">
        <v>36</v>
      </c>
      <c r="E99" s="3" t="s">
        <v>37</v>
      </c>
      <c r="F99" s="84">
        <v>550</v>
      </c>
      <c r="G99" s="84">
        <v>19800</v>
      </c>
      <c r="H99" s="84">
        <v>1200</v>
      </c>
      <c r="I99" s="84">
        <v>43200</v>
      </c>
      <c r="J99" s="84">
        <v>23400</v>
      </c>
    </row>
    <row r="100" spans="1:10" x14ac:dyDescent="0.35">
      <c r="A100" s="5">
        <v>45756</v>
      </c>
      <c r="B100" s="3" t="s">
        <v>38</v>
      </c>
      <c r="C100" s="3">
        <v>75</v>
      </c>
      <c r="D100" s="3" t="s">
        <v>39</v>
      </c>
      <c r="E100" s="3" t="s">
        <v>40</v>
      </c>
      <c r="F100" s="84">
        <v>1000</v>
      </c>
      <c r="G100" s="84">
        <v>75000</v>
      </c>
      <c r="H100" s="84">
        <v>2200</v>
      </c>
      <c r="I100" s="84">
        <v>165000</v>
      </c>
      <c r="J100" s="84">
        <v>90000</v>
      </c>
    </row>
    <row r="101" spans="1:10" x14ac:dyDescent="0.35">
      <c r="A101" s="5">
        <v>45757</v>
      </c>
      <c r="B101" s="3" t="s">
        <v>41</v>
      </c>
      <c r="C101" s="3">
        <v>13</v>
      </c>
      <c r="D101" s="3" t="s">
        <v>42</v>
      </c>
      <c r="E101" s="3" t="s">
        <v>43</v>
      </c>
      <c r="F101" s="84">
        <v>550</v>
      </c>
      <c r="G101" s="84">
        <v>7150</v>
      </c>
      <c r="H101" s="84">
        <v>650</v>
      </c>
      <c r="I101" s="84">
        <v>8450</v>
      </c>
      <c r="J101" s="84">
        <v>1300</v>
      </c>
    </row>
    <row r="102" spans="1:10" x14ac:dyDescent="0.35">
      <c r="A102" s="5">
        <v>45758</v>
      </c>
      <c r="B102" s="3" t="s">
        <v>15</v>
      </c>
      <c r="C102" s="3">
        <v>13</v>
      </c>
      <c r="D102" s="3" t="s">
        <v>16</v>
      </c>
      <c r="E102" s="3" t="s">
        <v>1</v>
      </c>
      <c r="F102" s="84">
        <v>2500</v>
      </c>
      <c r="G102" s="84">
        <v>32500</v>
      </c>
      <c r="H102" s="84">
        <v>5500</v>
      </c>
      <c r="I102" s="84">
        <v>71500</v>
      </c>
      <c r="J102" s="84">
        <v>39000</v>
      </c>
    </row>
    <row r="103" spans="1:10" x14ac:dyDescent="0.35">
      <c r="A103" s="5">
        <v>45759</v>
      </c>
      <c r="B103" s="3" t="s">
        <v>17</v>
      </c>
      <c r="C103" s="3">
        <v>7</v>
      </c>
      <c r="D103" s="3" t="s">
        <v>18</v>
      </c>
      <c r="E103" s="3" t="s">
        <v>19</v>
      </c>
      <c r="F103" s="84">
        <v>1200</v>
      </c>
      <c r="G103" s="84">
        <v>8400</v>
      </c>
      <c r="H103" s="84">
        <v>2500</v>
      </c>
      <c r="I103" s="84">
        <v>17500</v>
      </c>
      <c r="J103" s="84">
        <v>9100</v>
      </c>
    </row>
    <row r="104" spans="1:10" x14ac:dyDescent="0.35">
      <c r="A104" s="5">
        <v>45760</v>
      </c>
      <c r="B104" s="3" t="s">
        <v>20</v>
      </c>
      <c r="C104" s="3">
        <v>21</v>
      </c>
      <c r="D104" s="3" t="s">
        <v>21</v>
      </c>
      <c r="E104" s="3" t="s">
        <v>22</v>
      </c>
      <c r="F104" s="84">
        <v>800</v>
      </c>
      <c r="G104" s="84">
        <v>16800</v>
      </c>
      <c r="H104" s="84">
        <v>1500</v>
      </c>
      <c r="I104" s="84">
        <v>31500</v>
      </c>
      <c r="J104" s="84">
        <v>14700</v>
      </c>
    </row>
    <row r="105" spans="1:10" x14ac:dyDescent="0.35">
      <c r="A105" s="5">
        <v>45761</v>
      </c>
      <c r="B105" s="3" t="s">
        <v>23</v>
      </c>
      <c r="C105" s="3">
        <v>75</v>
      </c>
      <c r="D105" s="3" t="s">
        <v>24</v>
      </c>
      <c r="E105" s="3" t="s">
        <v>25</v>
      </c>
      <c r="F105" s="84">
        <v>1000</v>
      </c>
      <c r="G105" s="84">
        <v>75000</v>
      </c>
      <c r="H105" s="84">
        <v>2000</v>
      </c>
      <c r="I105" s="84">
        <v>150000</v>
      </c>
      <c r="J105" s="84">
        <v>75000</v>
      </c>
    </row>
    <row r="106" spans="1:10" x14ac:dyDescent="0.35">
      <c r="A106" s="5">
        <v>45762</v>
      </c>
      <c r="B106" s="3" t="s">
        <v>26</v>
      </c>
      <c r="C106" s="3">
        <v>42</v>
      </c>
      <c r="D106" s="3" t="s">
        <v>27</v>
      </c>
      <c r="E106" s="3" t="s">
        <v>28</v>
      </c>
      <c r="F106" s="84">
        <v>1000</v>
      </c>
      <c r="G106" s="84">
        <v>42000</v>
      </c>
      <c r="H106" s="84">
        <v>2200</v>
      </c>
      <c r="I106" s="84">
        <v>92400</v>
      </c>
      <c r="J106" s="84">
        <v>50400</v>
      </c>
    </row>
    <row r="107" spans="1:10" x14ac:dyDescent="0.35">
      <c r="A107" s="5">
        <v>45763</v>
      </c>
      <c r="B107" s="3" t="s">
        <v>29</v>
      </c>
      <c r="C107" s="3">
        <v>25</v>
      </c>
      <c r="D107" s="3" t="s">
        <v>30</v>
      </c>
      <c r="E107" s="3" t="s">
        <v>31</v>
      </c>
      <c r="F107" s="84">
        <v>600</v>
      </c>
      <c r="G107" s="84">
        <v>15000</v>
      </c>
      <c r="H107" s="84">
        <v>1200</v>
      </c>
      <c r="I107" s="84">
        <v>30000</v>
      </c>
      <c r="J107" s="84">
        <v>15000</v>
      </c>
    </row>
    <row r="108" spans="1:10" x14ac:dyDescent="0.35">
      <c r="A108" s="5">
        <v>45764</v>
      </c>
      <c r="B108" s="3" t="s">
        <v>32</v>
      </c>
      <c r="C108" s="3">
        <v>8</v>
      </c>
      <c r="D108" s="3" t="s">
        <v>33</v>
      </c>
      <c r="E108" s="3" t="s">
        <v>34</v>
      </c>
      <c r="F108" s="84">
        <v>200</v>
      </c>
      <c r="G108" s="84">
        <v>1600</v>
      </c>
      <c r="H108" s="84">
        <v>550</v>
      </c>
      <c r="I108" s="84">
        <v>4400</v>
      </c>
      <c r="J108" s="84">
        <v>2800</v>
      </c>
    </row>
    <row r="109" spans="1:10" x14ac:dyDescent="0.35">
      <c r="A109" s="5">
        <v>45765</v>
      </c>
      <c r="B109" s="3" t="s">
        <v>35</v>
      </c>
      <c r="C109" s="3">
        <v>48</v>
      </c>
      <c r="D109" s="3" t="s">
        <v>36</v>
      </c>
      <c r="E109" s="3" t="s">
        <v>37</v>
      </c>
      <c r="F109" s="84">
        <v>550</v>
      </c>
      <c r="G109" s="84">
        <v>26400</v>
      </c>
      <c r="H109" s="84">
        <v>1200</v>
      </c>
      <c r="I109" s="84">
        <v>57600</v>
      </c>
      <c r="J109" s="84">
        <v>31200</v>
      </c>
    </row>
    <row r="110" spans="1:10" x14ac:dyDescent="0.35">
      <c r="A110" s="5">
        <v>45766</v>
      </c>
      <c r="B110" s="3" t="s">
        <v>38</v>
      </c>
      <c r="C110" s="3">
        <v>70</v>
      </c>
      <c r="D110" s="3" t="s">
        <v>39</v>
      </c>
      <c r="E110" s="3" t="s">
        <v>40</v>
      </c>
      <c r="F110" s="84">
        <v>1000</v>
      </c>
      <c r="G110" s="84">
        <v>70000</v>
      </c>
      <c r="H110" s="84">
        <v>2200</v>
      </c>
      <c r="I110" s="84">
        <v>154000</v>
      </c>
      <c r="J110" s="84">
        <v>84000</v>
      </c>
    </row>
    <row r="111" spans="1:10" x14ac:dyDescent="0.35">
      <c r="A111" s="5">
        <v>45767</v>
      </c>
      <c r="B111" s="3" t="s">
        <v>41</v>
      </c>
      <c r="C111" s="3">
        <v>90</v>
      </c>
      <c r="D111" s="3" t="s">
        <v>42</v>
      </c>
      <c r="E111" s="3" t="s">
        <v>43</v>
      </c>
      <c r="F111" s="84">
        <v>550</v>
      </c>
      <c r="G111" s="84">
        <v>49500</v>
      </c>
      <c r="H111" s="84">
        <v>650</v>
      </c>
      <c r="I111" s="84">
        <v>58500</v>
      </c>
      <c r="J111" s="84">
        <v>9000</v>
      </c>
    </row>
    <row r="112" spans="1:10" x14ac:dyDescent="0.35">
      <c r="A112" s="5">
        <v>45768</v>
      </c>
      <c r="B112" s="3" t="s">
        <v>15</v>
      </c>
      <c r="C112" s="3">
        <v>73</v>
      </c>
      <c r="D112" s="3" t="s">
        <v>16</v>
      </c>
      <c r="E112" s="3" t="s">
        <v>1</v>
      </c>
      <c r="F112" s="84">
        <v>2500</v>
      </c>
      <c r="G112" s="84">
        <v>182500</v>
      </c>
      <c r="H112" s="84">
        <v>5500</v>
      </c>
      <c r="I112" s="84">
        <v>401500</v>
      </c>
      <c r="J112" s="84">
        <v>219000</v>
      </c>
    </row>
    <row r="113" spans="1:10" x14ac:dyDescent="0.35">
      <c r="A113" s="5">
        <v>45769</v>
      </c>
      <c r="B113" s="3" t="s">
        <v>17</v>
      </c>
      <c r="C113" s="3">
        <v>39</v>
      </c>
      <c r="D113" s="3" t="s">
        <v>18</v>
      </c>
      <c r="E113" s="3" t="s">
        <v>19</v>
      </c>
      <c r="F113" s="84">
        <v>1200</v>
      </c>
      <c r="G113" s="84">
        <v>46800</v>
      </c>
      <c r="H113" s="84">
        <v>2500</v>
      </c>
      <c r="I113" s="84">
        <v>97500</v>
      </c>
      <c r="J113" s="84">
        <v>50700</v>
      </c>
    </row>
    <row r="114" spans="1:10" x14ac:dyDescent="0.35">
      <c r="A114" s="5">
        <v>45770</v>
      </c>
      <c r="B114" s="3" t="s">
        <v>20</v>
      </c>
      <c r="C114" s="3">
        <v>27</v>
      </c>
      <c r="D114" s="3" t="s">
        <v>21</v>
      </c>
      <c r="E114" s="3" t="s">
        <v>22</v>
      </c>
      <c r="F114" s="84">
        <v>800</v>
      </c>
      <c r="G114" s="84">
        <v>21600</v>
      </c>
      <c r="H114" s="84">
        <v>1500</v>
      </c>
      <c r="I114" s="84">
        <v>40500</v>
      </c>
      <c r="J114" s="84">
        <v>18900</v>
      </c>
    </row>
    <row r="115" spans="1:10" x14ac:dyDescent="0.35">
      <c r="A115" s="5">
        <v>45771</v>
      </c>
      <c r="B115" s="3" t="s">
        <v>23</v>
      </c>
      <c r="C115" s="3">
        <v>43</v>
      </c>
      <c r="D115" s="3" t="s">
        <v>24</v>
      </c>
      <c r="E115" s="3" t="s">
        <v>25</v>
      </c>
      <c r="F115" s="84">
        <v>1000</v>
      </c>
      <c r="G115" s="84">
        <v>43000</v>
      </c>
      <c r="H115" s="84">
        <v>2000</v>
      </c>
      <c r="I115" s="84">
        <v>86000</v>
      </c>
      <c r="J115" s="84">
        <v>43000</v>
      </c>
    </row>
    <row r="116" spans="1:10" x14ac:dyDescent="0.35">
      <c r="A116" s="5">
        <v>45772</v>
      </c>
      <c r="B116" s="3" t="s">
        <v>26</v>
      </c>
      <c r="C116" s="3">
        <v>44</v>
      </c>
      <c r="D116" s="3" t="s">
        <v>27</v>
      </c>
      <c r="E116" s="3" t="s">
        <v>28</v>
      </c>
      <c r="F116" s="84">
        <v>1000</v>
      </c>
      <c r="G116" s="84">
        <v>44000</v>
      </c>
      <c r="H116" s="84">
        <v>2200</v>
      </c>
      <c r="I116" s="84">
        <v>96800</v>
      </c>
      <c r="J116" s="84">
        <v>52800</v>
      </c>
    </row>
    <row r="117" spans="1:10" x14ac:dyDescent="0.35">
      <c r="A117" s="5">
        <v>45773</v>
      </c>
      <c r="B117" s="3" t="s">
        <v>29</v>
      </c>
      <c r="C117" s="3">
        <v>62</v>
      </c>
      <c r="D117" s="3" t="s">
        <v>30</v>
      </c>
      <c r="E117" s="3" t="s">
        <v>31</v>
      </c>
      <c r="F117" s="84">
        <v>600</v>
      </c>
      <c r="G117" s="84">
        <v>37200</v>
      </c>
      <c r="H117" s="84">
        <v>1200</v>
      </c>
      <c r="I117" s="84">
        <v>74400</v>
      </c>
      <c r="J117" s="84">
        <v>37200</v>
      </c>
    </row>
    <row r="118" spans="1:10" x14ac:dyDescent="0.35">
      <c r="A118" s="5">
        <v>45774</v>
      </c>
      <c r="B118" s="3" t="s">
        <v>32</v>
      </c>
      <c r="C118" s="3">
        <v>72</v>
      </c>
      <c r="D118" s="3" t="s">
        <v>33</v>
      </c>
      <c r="E118" s="3" t="s">
        <v>34</v>
      </c>
      <c r="F118" s="84">
        <v>200</v>
      </c>
      <c r="G118" s="84">
        <v>14400</v>
      </c>
      <c r="H118" s="84">
        <v>550</v>
      </c>
      <c r="I118" s="84">
        <v>39600</v>
      </c>
      <c r="J118" s="84">
        <v>25200</v>
      </c>
    </row>
    <row r="119" spans="1:10" x14ac:dyDescent="0.35">
      <c r="A119" s="5">
        <v>45775</v>
      </c>
      <c r="B119" s="3" t="s">
        <v>35</v>
      </c>
      <c r="C119" s="3">
        <v>52</v>
      </c>
      <c r="D119" s="3" t="s">
        <v>36</v>
      </c>
      <c r="E119" s="3" t="s">
        <v>37</v>
      </c>
      <c r="F119" s="84">
        <v>550</v>
      </c>
      <c r="G119" s="84">
        <v>28600</v>
      </c>
      <c r="H119" s="84">
        <v>1200</v>
      </c>
      <c r="I119" s="84">
        <v>62400</v>
      </c>
      <c r="J119" s="84">
        <v>33800</v>
      </c>
    </row>
    <row r="120" spans="1:10" x14ac:dyDescent="0.35">
      <c r="A120" s="5">
        <v>45776</v>
      </c>
      <c r="B120" s="3" t="s">
        <v>38</v>
      </c>
      <c r="C120" s="3">
        <v>79</v>
      </c>
      <c r="D120" s="3" t="s">
        <v>39</v>
      </c>
      <c r="E120" s="3" t="s">
        <v>40</v>
      </c>
      <c r="F120" s="84">
        <v>1000</v>
      </c>
      <c r="G120" s="84">
        <v>79000</v>
      </c>
      <c r="H120" s="84">
        <v>2200</v>
      </c>
      <c r="I120" s="84">
        <v>173800</v>
      </c>
      <c r="J120" s="84">
        <v>94800</v>
      </c>
    </row>
    <row r="121" spans="1:10" x14ac:dyDescent="0.35">
      <c r="A121" s="5">
        <v>45777</v>
      </c>
      <c r="B121" s="3" t="s">
        <v>41</v>
      </c>
      <c r="C121" s="3">
        <v>8</v>
      </c>
      <c r="D121" s="3" t="s">
        <v>42</v>
      </c>
      <c r="E121" s="3" t="s">
        <v>43</v>
      </c>
      <c r="F121" s="84">
        <v>550</v>
      </c>
      <c r="G121" s="84">
        <v>4400</v>
      </c>
      <c r="H121" s="84">
        <v>650</v>
      </c>
      <c r="I121" s="84">
        <v>5200</v>
      </c>
      <c r="J121" s="84">
        <v>800</v>
      </c>
    </row>
    <row r="122" spans="1:10" x14ac:dyDescent="0.35">
      <c r="A122" s="5">
        <v>45778</v>
      </c>
      <c r="B122" s="3" t="s">
        <v>15</v>
      </c>
      <c r="C122" s="3">
        <v>1</v>
      </c>
      <c r="D122" s="3" t="s">
        <v>16</v>
      </c>
      <c r="E122" s="3" t="s">
        <v>1</v>
      </c>
      <c r="F122" s="84">
        <v>2500</v>
      </c>
      <c r="G122" s="84">
        <v>2500</v>
      </c>
      <c r="H122" s="84">
        <v>5500</v>
      </c>
      <c r="I122" s="84">
        <v>5500</v>
      </c>
      <c r="J122" s="84">
        <v>3000</v>
      </c>
    </row>
    <row r="123" spans="1:10" x14ac:dyDescent="0.35">
      <c r="A123" s="5">
        <v>45779</v>
      </c>
      <c r="B123" s="3" t="s">
        <v>17</v>
      </c>
      <c r="C123" s="3">
        <v>85</v>
      </c>
      <c r="D123" s="3" t="s">
        <v>18</v>
      </c>
      <c r="E123" s="3" t="s">
        <v>19</v>
      </c>
      <c r="F123" s="84">
        <v>1200</v>
      </c>
      <c r="G123" s="84">
        <v>102000</v>
      </c>
      <c r="H123" s="84">
        <v>2500</v>
      </c>
      <c r="I123" s="84">
        <v>212500</v>
      </c>
      <c r="J123" s="84">
        <v>110500</v>
      </c>
    </row>
    <row r="124" spans="1:10" x14ac:dyDescent="0.35">
      <c r="A124" s="5">
        <v>45780</v>
      </c>
      <c r="B124" s="3" t="s">
        <v>20</v>
      </c>
      <c r="C124" s="3">
        <v>71</v>
      </c>
      <c r="D124" s="3" t="s">
        <v>21</v>
      </c>
      <c r="E124" s="3" t="s">
        <v>22</v>
      </c>
      <c r="F124" s="84">
        <v>800</v>
      </c>
      <c r="G124" s="84">
        <v>56800</v>
      </c>
      <c r="H124" s="84">
        <v>1500</v>
      </c>
      <c r="I124" s="84">
        <v>106500</v>
      </c>
      <c r="J124" s="84">
        <v>49700</v>
      </c>
    </row>
    <row r="125" spans="1:10" x14ac:dyDescent="0.35">
      <c r="A125" s="5">
        <v>45781</v>
      </c>
      <c r="B125" s="3" t="s">
        <v>23</v>
      </c>
      <c r="C125" s="3">
        <v>82</v>
      </c>
      <c r="D125" s="3" t="s">
        <v>24</v>
      </c>
      <c r="E125" s="3" t="s">
        <v>25</v>
      </c>
      <c r="F125" s="84">
        <v>1000</v>
      </c>
      <c r="G125" s="84">
        <v>82000</v>
      </c>
      <c r="H125" s="84">
        <v>2000</v>
      </c>
      <c r="I125" s="84">
        <v>164000</v>
      </c>
      <c r="J125" s="84">
        <v>82000</v>
      </c>
    </row>
    <row r="126" spans="1:10" x14ac:dyDescent="0.35">
      <c r="A126" s="5">
        <v>45782</v>
      </c>
      <c r="B126" s="3" t="s">
        <v>26</v>
      </c>
      <c r="C126" s="3">
        <v>57</v>
      </c>
      <c r="D126" s="3" t="s">
        <v>27</v>
      </c>
      <c r="E126" s="3" t="s">
        <v>28</v>
      </c>
      <c r="F126" s="84">
        <v>1000</v>
      </c>
      <c r="G126" s="84">
        <v>57000</v>
      </c>
      <c r="H126" s="84">
        <v>2200</v>
      </c>
      <c r="I126" s="84">
        <v>125400</v>
      </c>
      <c r="J126" s="84">
        <v>68400</v>
      </c>
    </row>
    <row r="127" spans="1:10" x14ac:dyDescent="0.35">
      <c r="A127" s="5">
        <v>45783</v>
      </c>
      <c r="B127" s="3" t="s">
        <v>29</v>
      </c>
      <c r="C127" s="3">
        <v>90</v>
      </c>
      <c r="D127" s="3" t="s">
        <v>30</v>
      </c>
      <c r="E127" s="3" t="s">
        <v>31</v>
      </c>
      <c r="F127" s="84">
        <v>600</v>
      </c>
      <c r="G127" s="84">
        <v>54000</v>
      </c>
      <c r="H127" s="84">
        <v>1200</v>
      </c>
      <c r="I127" s="84">
        <v>108000</v>
      </c>
      <c r="J127" s="84">
        <v>54000</v>
      </c>
    </row>
    <row r="128" spans="1:10" x14ac:dyDescent="0.35">
      <c r="A128" s="5">
        <v>45784</v>
      </c>
      <c r="B128" s="3" t="s">
        <v>32</v>
      </c>
      <c r="C128" s="3">
        <v>87</v>
      </c>
      <c r="D128" s="3" t="s">
        <v>33</v>
      </c>
      <c r="E128" s="3" t="s">
        <v>34</v>
      </c>
      <c r="F128" s="84">
        <v>200</v>
      </c>
      <c r="G128" s="84">
        <v>17400</v>
      </c>
      <c r="H128" s="84">
        <v>550</v>
      </c>
      <c r="I128" s="84">
        <v>47850</v>
      </c>
      <c r="J128" s="84">
        <v>30450</v>
      </c>
    </row>
    <row r="129" spans="1:10" x14ac:dyDescent="0.35">
      <c r="A129" s="5">
        <v>45785</v>
      </c>
      <c r="B129" s="3" t="s">
        <v>35</v>
      </c>
      <c r="C129" s="3">
        <v>48</v>
      </c>
      <c r="D129" s="3" t="s">
        <v>36</v>
      </c>
      <c r="E129" s="3" t="s">
        <v>37</v>
      </c>
      <c r="F129" s="84">
        <v>550</v>
      </c>
      <c r="G129" s="84">
        <v>26400</v>
      </c>
      <c r="H129" s="84">
        <v>1200</v>
      </c>
      <c r="I129" s="84">
        <v>57600</v>
      </c>
      <c r="J129" s="84">
        <v>31200</v>
      </c>
    </row>
    <row r="130" spans="1:10" x14ac:dyDescent="0.35">
      <c r="A130" s="5">
        <v>45786</v>
      </c>
      <c r="B130" s="3" t="s">
        <v>38</v>
      </c>
      <c r="C130" s="3">
        <v>79</v>
      </c>
      <c r="D130" s="3" t="s">
        <v>39</v>
      </c>
      <c r="E130" s="3" t="s">
        <v>40</v>
      </c>
      <c r="F130" s="84">
        <v>1000</v>
      </c>
      <c r="G130" s="84">
        <v>79000</v>
      </c>
      <c r="H130" s="84">
        <v>2200</v>
      </c>
      <c r="I130" s="84">
        <v>173800</v>
      </c>
      <c r="J130" s="84">
        <v>94800</v>
      </c>
    </row>
    <row r="131" spans="1:10" x14ac:dyDescent="0.35">
      <c r="A131" s="5">
        <v>45787</v>
      </c>
      <c r="B131" s="3" t="s">
        <v>41</v>
      </c>
      <c r="C131" s="3">
        <v>46</v>
      </c>
      <c r="D131" s="3" t="s">
        <v>42</v>
      </c>
      <c r="E131" s="3" t="s">
        <v>43</v>
      </c>
      <c r="F131" s="84">
        <v>550</v>
      </c>
      <c r="G131" s="84">
        <v>25300</v>
      </c>
      <c r="H131" s="84">
        <v>650</v>
      </c>
      <c r="I131" s="84">
        <v>29900</v>
      </c>
      <c r="J131" s="84">
        <v>4600</v>
      </c>
    </row>
    <row r="132" spans="1:10" x14ac:dyDescent="0.35">
      <c r="A132" s="5">
        <v>45788</v>
      </c>
      <c r="B132" s="3" t="s">
        <v>15</v>
      </c>
      <c r="C132" s="3">
        <v>56</v>
      </c>
      <c r="D132" s="3" t="s">
        <v>16</v>
      </c>
      <c r="E132" s="3" t="s">
        <v>1</v>
      </c>
      <c r="F132" s="84">
        <v>2500</v>
      </c>
      <c r="G132" s="84">
        <v>140000</v>
      </c>
      <c r="H132" s="84">
        <v>5500</v>
      </c>
      <c r="I132" s="84">
        <v>308000</v>
      </c>
      <c r="J132" s="84">
        <v>168000</v>
      </c>
    </row>
    <row r="133" spans="1:10" x14ac:dyDescent="0.35">
      <c r="A133" s="5">
        <v>45789</v>
      </c>
      <c r="B133" s="3" t="s">
        <v>17</v>
      </c>
      <c r="C133" s="3">
        <v>57</v>
      </c>
      <c r="D133" s="3" t="s">
        <v>18</v>
      </c>
      <c r="E133" s="3" t="s">
        <v>19</v>
      </c>
      <c r="F133" s="84">
        <v>1200</v>
      </c>
      <c r="G133" s="84">
        <v>68400</v>
      </c>
      <c r="H133" s="84">
        <v>2500</v>
      </c>
      <c r="I133" s="84">
        <v>142500</v>
      </c>
      <c r="J133" s="84">
        <v>74100</v>
      </c>
    </row>
    <row r="134" spans="1:10" x14ac:dyDescent="0.35">
      <c r="A134" s="5">
        <v>45790</v>
      </c>
      <c r="B134" s="3" t="s">
        <v>20</v>
      </c>
      <c r="C134" s="3">
        <v>4</v>
      </c>
      <c r="D134" s="3" t="s">
        <v>21</v>
      </c>
      <c r="E134" s="3" t="s">
        <v>22</v>
      </c>
      <c r="F134" s="84">
        <v>800</v>
      </c>
      <c r="G134" s="84">
        <v>3200</v>
      </c>
      <c r="H134" s="84">
        <v>1500</v>
      </c>
      <c r="I134" s="84">
        <v>6000</v>
      </c>
      <c r="J134" s="84">
        <v>2800</v>
      </c>
    </row>
    <row r="135" spans="1:10" x14ac:dyDescent="0.35">
      <c r="A135" s="5">
        <v>45791</v>
      </c>
      <c r="B135" s="3" t="s">
        <v>23</v>
      </c>
      <c r="C135" s="3">
        <v>70</v>
      </c>
      <c r="D135" s="3" t="s">
        <v>24</v>
      </c>
      <c r="E135" s="3" t="s">
        <v>25</v>
      </c>
      <c r="F135" s="84">
        <v>1000</v>
      </c>
      <c r="G135" s="84">
        <v>70000</v>
      </c>
      <c r="H135" s="84">
        <v>2000</v>
      </c>
      <c r="I135" s="84">
        <v>140000</v>
      </c>
      <c r="J135" s="84">
        <v>70000</v>
      </c>
    </row>
    <row r="136" spans="1:10" x14ac:dyDescent="0.35">
      <c r="A136" s="5">
        <v>45792</v>
      </c>
      <c r="B136" s="3" t="s">
        <v>26</v>
      </c>
      <c r="C136" s="3">
        <v>28</v>
      </c>
      <c r="D136" s="3" t="s">
        <v>27</v>
      </c>
      <c r="E136" s="3" t="s">
        <v>28</v>
      </c>
      <c r="F136" s="84">
        <v>1000</v>
      </c>
      <c r="G136" s="84">
        <v>28000</v>
      </c>
      <c r="H136" s="84">
        <v>2200</v>
      </c>
      <c r="I136" s="84">
        <v>61600</v>
      </c>
      <c r="J136" s="84">
        <v>33600</v>
      </c>
    </row>
    <row r="137" spans="1:10" x14ac:dyDescent="0.35">
      <c r="A137" s="5">
        <v>45793</v>
      </c>
      <c r="B137" s="3" t="s">
        <v>29</v>
      </c>
      <c r="C137" s="3">
        <v>82</v>
      </c>
      <c r="D137" s="3" t="s">
        <v>30</v>
      </c>
      <c r="E137" s="3" t="s">
        <v>31</v>
      </c>
      <c r="F137" s="84">
        <v>600</v>
      </c>
      <c r="G137" s="84">
        <v>49200</v>
      </c>
      <c r="H137" s="84">
        <v>1200</v>
      </c>
      <c r="I137" s="84">
        <v>98400</v>
      </c>
      <c r="J137" s="84">
        <v>49200</v>
      </c>
    </row>
    <row r="138" spans="1:10" x14ac:dyDescent="0.35">
      <c r="A138" s="5">
        <v>45794</v>
      </c>
      <c r="B138" s="3" t="s">
        <v>32</v>
      </c>
      <c r="C138" s="3">
        <v>34</v>
      </c>
      <c r="D138" s="3" t="s">
        <v>33</v>
      </c>
      <c r="E138" s="3" t="s">
        <v>34</v>
      </c>
      <c r="F138" s="84">
        <v>200</v>
      </c>
      <c r="G138" s="84">
        <v>6800</v>
      </c>
      <c r="H138" s="84">
        <v>550</v>
      </c>
      <c r="I138" s="84">
        <v>18700</v>
      </c>
      <c r="J138" s="84">
        <v>11900</v>
      </c>
    </row>
    <row r="139" spans="1:10" x14ac:dyDescent="0.35">
      <c r="A139" s="5">
        <v>45795</v>
      </c>
      <c r="B139" s="3" t="s">
        <v>35</v>
      </c>
      <c r="C139" s="3">
        <v>59</v>
      </c>
      <c r="D139" s="3" t="s">
        <v>36</v>
      </c>
      <c r="E139" s="3" t="s">
        <v>37</v>
      </c>
      <c r="F139" s="84">
        <v>550</v>
      </c>
      <c r="G139" s="84">
        <v>32450</v>
      </c>
      <c r="H139" s="84">
        <v>1200</v>
      </c>
      <c r="I139" s="84">
        <v>70800</v>
      </c>
      <c r="J139" s="84">
        <v>38350</v>
      </c>
    </row>
    <row r="140" spans="1:10" x14ac:dyDescent="0.35">
      <c r="A140" s="5">
        <v>45796</v>
      </c>
      <c r="B140" s="3" t="s">
        <v>38</v>
      </c>
      <c r="C140" s="3">
        <v>16</v>
      </c>
      <c r="D140" s="3" t="s">
        <v>39</v>
      </c>
      <c r="E140" s="3" t="s">
        <v>40</v>
      </c>
      <c r="F140" s="84">
        <v>1000</v>
      </c>
      <c r="G140" s="84">
        <v>16000</v>
      </c>
      <c r="H140" s="84">
        <v>2200</v>
      </c>
      <c r="I140" s="84">
        <v>35200</v>
      </c>
      <c r="J140" s="84">
        <v>19200</v>
      </c>
    </row>
    <row r="141" spans="1:10" x14ac:dyDescent="0.35">
      <c r="A141" s="5">
        <v>45797</v>
      </c>
      <c r="B141" s="3" t="s">
        <v>41</v>
      </c>
      <c r="C141" s="3">
        <v>13</v>
      </c>
      <c r="D141" s="3" t="s">
        <v>42</v>
      </c>
      <c r="E141" s="3" t="s">
        <v>43</v>
      </c>
      <c r="F141" s="84">
        <v>550</v>
      </c>
      <c r="G141" s="84">
        <v>7150</v>
      </c>
      <c r="H141" s="84">
        <v>650</v>
      </c>
      <c r="I141" s="84">
        <v>8450</v>
      </c>
      <c r="J141" s="84">
        <v>1300</v>
      </c>
    </row>
    <row r="142" spans="1:10" x14ac:dyDescent="0.35">
      <c r="A142" s="5">
        <v>45798</v>
      </c>
      <c r="B142" s="3" t="s">
        <v>15</v>
      </c>
      <c r="C142" s="3">
        <v>46</v>
      </c>
      <c r="D142" s="3" t="s">
        <v>16</v>
      </c>
      <c r="E142" s="3" t="s">
        <v>1</v>
      </c>
      <c r="F142" s="84">
        <v>2500</v>
      </c>
      <c r="G142" s="84">
        <v>115000</v>
      </c>
      <c r="H142" s="84">
        <v>5500</v>
      </c>
      <c r="I142" s="84">
        <v>253000</v>
      </c>
      <c r="J142" s="84">
        <v>138000</v>
      </c>
    </row>
    <row r="143" spans="1:10" x14ac:dyDescent="0.35">
      <c r="A143" s="5">
        <v>45799</v>
      </c>
      <c r="B143" s="3" t="s">
        <v>17</v>
      </c>
      <c r="C143" s="3">
        <v>50</v>
      </c>
      <c r="D143" s="3" t="s">
        <v>18</v>
      </c>
      <c r="E143" s="3" t="s">
        <v>19</v>
      </c>
      <c r="F143" s="84">
        <v>1200</v>
      </c>
      <c r="G143" s="84">
        <v>60000</v>
      </c>
      <c r="H143" s="84">
        <v>2500</v>
      </c>
      <c r="I143" s="84">
        <v>125000</v>
      </c>
      <c r="J143" s="84">
        <v>65000</v>
      </c>
    </row>
    <row r="144" spans="1:10" x14ac:dyDescent="0.35">
      <c r="A144" s="5">
        <v>45800</v>
      </c>
      <c r="B144" s="3" t="s">
        <v>20</v>
      </c>
      <c r="C144" s="3">
        <v>79</v>
      </c>
      <c r="D144" s="3" t="s">
        <v>21</v>
      </c>
      <c r="E144" s="3" t="s">
        <v>22</v>
      </c>
      <c r="F144" s="84">
        <v>800</v>
      </c>
      <c r="G144" s="84">
        <v>63200</v>
      </c>
      <c r="H144" s="84">
        <v>1500</v>
      </c>
      <c r="I144" s="84">
        <v>118500</v>
      </c>
      <c r="J144" s="84">
        <v>55300</v>
      </c>
    </row>
    <row r="145" spans="1:10" x14ac:dyDescent="0.35">
      <c r="A145" s="5">
        <v>45801</v>
      </c>
      <c r="B145" s="3" t="s">
        <v>23</v>
      </c>
      <c r="C145" s="3">
        <v>94</v>
      </c>
      <c r="D145" s="3" t="s">
        <v>24</v>
      </c>
      <c r="E145" s="3" t="s">
        <v>25</v>
      </c>
      <c r="F145" s="84">
        <v>1000</v>
      </c>
      <c r="G145" s="84">
        <v>94000</v>
      </c>
      <c r="H145" s="84">
        <v>2000</v>
      </c>
      <c r="I145" s="84">
        <v>188000</v>
      </c>
      <c r="J145" s="84">
        <v>94000</v>
      </c>
    </row>
    <row r="146" spans="1:10" x14ac:dyDescent="0.35">
      <c r="A146" s="5">
        <v>45802</v>
      </c>
      <c r="B146" s="3" t="s">
        <v>26</v>
      </c>
      <c r="C146" s="3">
        <v>12</v>
      </c>
      <c r="D146" s="3" t="s">
        <v>27</v>
      </c>
      <c r="E146" s="3" t="s">
        <v>28</v>
      </c>
      <c r="F146" s="84">
        <v>1000</v>
      </c>
      <c r="G146" s="84">
        <v>12000</v>
      </c>
      <c r="H146" s="84">
        <v>2200</v>
      </c>
      <c r="I146" s="84">
        <v>26400</v>
      </c>
      <c r="J146" s="84">
        <v>14400</v>
      </c>
    </row>
    <row r="147" spans="1:10" x14ac:dyDescent="0.35">
      <c r="A147" s="5">
        <v>45803</v>
      </c>
      <c r="B147" s="3" t="s">
        <v>29</v>
      </c>
      <c r="C147" s="3">
        <v>9</v>
      </c>
      <c r="D147" s="3" t="s">
        <v>30</v>
      </c>
      <c r="E147" s="3" t="s">
        <v>31</v>
      </c>
      <c r="F147" s="84">
        <v>600</v>
      </c>
      <c r="G147" s="84">
        <v>5400</v>
      </c>
      <c r="H147" s="84">
        <v>1200</v>
      </c>
      <c r="I147" s="84">
        <v>10800</v>
      </c>
      <c r="J147" s="84">
        <v>5400</v>
      </c>
    </row>
    <row r="148" spans="1:10" x14ac:dyDescent="0.35">
      <c r="A148" s="5">
        <v>45804</v>
      </c>
      <c r="B148" s="3" t="s">
        <v>32</v>
      </c>
      <c r="C148" s="3">
        <v>82</v>
      </c>
      <c r="D148" s="3" t="s">
        <v>33</v>
      </c>
      <c r="E148" s="3" t="s">
        <v>34</v>
      </c>
      <c r="F148" s="84">
        <v>200</v>
      </c>
      <c r="G148" s="84">
        <v>16400</v>
      </c>
      <c r="H148" s="84">
        <v>550</v>
      </c>
      <c r="I148" s="84">
        <v>45100</v>
      </c>
      <c r="J148" s="84">
        <v>28700</v>
      </c>
    </row>
    <row r="149" spans="1:10" x14ac:dyDescent="0.35">
      <c r="A149" s="5">
        <v>45805</v>
      </c>
      <c r="B149" s="3" t="s">
        <v>35</v>
      </c>
      <c r="C149" s="3">
        <v>14</v>
      </c>
      <c r="D149" s="3" t="s">
        <v>36</v>
      </c>
      <c r="E149" s="3" t="s">
        <v>37</v>
      </c>
      <c r="F149" s="84">
        <v>550</v>
      </c>
      <c r="G149" s="84">
        <v>7700</v>
      </c>
      <c r="H149" s="84">
        <v>1200</v>
      </c>
      <c r="I149" s="84">
        <v>16800</v>
      </c>
      <c r="J149" s="84">
        <v>9100</v>
      </c>
    </row>
    <row r="150" spans="1:10" x14ac:dyDescent="0.35">
      <c r="A150" s="5">
        <v>45806</v>
      </c>
      <c r="B150" s="3" t="s">
        <v>38</v>
      </c>
      <c r="C150" s="3">
        <v>72</v>
      </c>
      <c r="D150" s="3" t="s">
        <v>39</v>
      </c>
      <c r="E150" s="3" t="s">
        <v>40</v>
      </c>
      <c r="F150" s="84">
        <v>1000</v>
      </c>
      <c r="G150" s="84">
        <v>72000</v>
      </c>
      <c r="H150" s="84">
        <v>2200</v>
      </c>
      <c r="I150" s="84">
        <v>158400</v>
      </c>
      <c r="J150" s="84">
        <v>86400</v>
      </c>
    </row>
    <row r="151" spans="1:10" x14ac:dyDescent="0.35">
      <c r="A151" s="5">
        <v>45807</v>
      </c>
      <c r="B151" s="3" t="s">
        <v>41</v>
      </c>
      <c r="C151" s="3">
        <v>21</v>
      </c>
      <c r="D151" s="3" t="s">
        <v>42</v>
      </c>
      <c r="E151" s="3" t="s">
        <v>43</v>
      </c>
      <c r="F151" s="84">
        <v>550</v>
      </c>
      <c r="G151" s="84">
        <v>11550</v>
      </c>
      <c r="H151" s="84">
        <v>650</v>
      </c>
      <c r="I151" s="84">
        <v>13650</v>
      </c>
      <c r="J151" s="84">
        <v>2100</v>
      </c>
    </row>
    <row r="152" spans="1:10" x14ac:dyDescent="0.35">
      <c r="A152" s="5">
        <v>45808</v>
      </c>
      <c r="B152" s="3" t="s">
        <v>15</v>
      </c>
      <c r="C152" s="3">
        <v>29</v>
      </c>
      <c r="D152" s="3" t="s">
        <v>16</v>
      </c>
      <c r="E152" s="3" t="s">
        <v>1</v>
      </c>
      <c r="F152" s="84">
        <v>2500</v>
      </c>
      <c r="G152" s="84">
        <v>72500</v>
      </c>
      <c r="H152" s="84">
        <v>5500</v>
      </c>
      <c r="I152" s="84">
        <v>159500</v>
      </c>
      <c r="J152" s="84">
        <v>87000</v>
      </c>
    </row>
    <row r="153" spans="1:10" x14ac:dyDescent="0.35">
      <c r="A153" s="5">
        <v>45809</v>
      </c>
      <c r="B153" s="3" t="s">
        <v>17</v>
      </c>
      <c r="C153" s="3">
        <v>10</v>
      </c>
      <c r="D153" s="3" t="s">
        <v>18</v>
      </c>
      <c r="E153" s="3" t="s">
        <v>19</v>
      </c>
      <c r="F153" s="84">
        <v>1200</v>
      </c>
      <c r="G153" s="84">
        <v>12000</v>
      </c>
      <c r="H153" s="84">
        <v>2500</v>
      </c>
      <c r="I153" s="84">
        <v>25000</v>
      </c>
      <c r="J153" s="84">
        <v>13000</v>
      </c>
    </row>
    <row r="154" spans="1:10" x14ac:dyDescent="0.35">
      <c r="A154" s="5">
        <v>45810</v>
      </c>
      <c r="B154" s="3" t="s">
        <v>20</v>
      </c>
      <c r="C154" s="3">
        <v>100</v>
      </c>
      <c r="D154" s="3" t="s">
        <v>21</v>
      </c>
      <c r="E154" s="3" t="s">
        <v>22</v>
      </c>
      <c r="F154" s="84">
        <v>800</v>
      </c>
      <c r="G154" s="84">
        <v>80000</v>
      </c>
      <c r="H154" s="84">
        <v>1500</v>
      </c>
      <c r="I154" s="84">
        <v>150000</v>
      </c>
      <c r="J154" s="84">
        <v>70000</v>
      </c>
    </row>
    <row r="155" spans="1:10" x14ac:dyDescent="0.35">
      <c r="A155" s="5">
        <v>45811</v>
      </c>
      <c r="B155" s="3" t="s">
        <v>23</v>
      </c>
      <c r="C155" s="3">
        <v>9</v>
      </c>
      <c r="D155" s="3" t="s">
        <v>24</v>
      </c>
      <c r="E155" s="3" t="s">
        <v>25</v>
      </c>
      <c r="F155" s="84">
        <v>1000</v>
      </c>
      <c r="G155" s="84">
        <v>9000</v>
      </c>
      <c r="H155" s="84">
        <v>2000</v>
      </c>
      <c r="I155" s="84">
        <v>18000</v>
      </c>
      <c r="J155" s="84">
        <v>9000</v>
      </c>
    </row>
    <row r="156" spans="1:10" x14ac:dyDescent="0.35">
      <c r="A156" s="5">
        <v>45812</v>
      </c>
      <c r="B156" s="3" t="s">
        <v>26</v>
      </c>
      <c r="C156" s="3">
        <v>31</v>
      </c>
      <c r="D156" s="3" t="s">
        <v>27</v>
      </c>
      <c r="E156" s="3" t="s">
        <v>28</v>
      </c>
      <c r="F156" s="84">
        <v>1000</v>
      </c>
      <c r="G156" s="84">
        <v>31000</v>
      </c>
      <c r="H156" s="84">
        <v>2200</v>
      </c>
      <c r="I156" s="84">
        <v>68200</v>
      </c>
      <c r="J156" s="84">
        <v>37200</v>
      </c>
    </row>
    <row r="157" spans="1:10" x14ac:dyDescent="0.35">
      <c r="A157" s="5">
        <v>45813</v>
      </c>
      <c r="B157" s="3" t="s">
        <v>29</v>
      </c>
      <c r="C157" s="3">
        <v>49</v>
      </c>
      <c r="D157" s="3" t="s">
        <v>30</v>
      </c>
      <c r="E157" s="3" t="s">
        <v>31</v>
      </c>
      <c r="F157" s="84">
        <v>600</v>
      </c>
      <c r="G157" s="84">
        <v>29400</v>
      </c>
      <c r="H157" s="84">
        <v>1200</v>
      </c>
      <c r="I157" s="84">
        <v>58800</v>
      </c>
      <c r="J157" s="84">
        <v>29400</v>
      </c>
    </row>
    <row r="158" spans="1:10" x14ac:dyDescent="0.35">
      <c r="A158" s="5">
        <v>45814</v>
      </c>
      <c r="B158" s="3" t="s">
        <v>32</v>
      </c>
      <c r="C158" s="3">
        <v>38</v>
      </c>
      <c r="D158" s="3" t="s">
        <v>33</v>
      </c>
      <c r="E158" s="3" t="s">
        <v>34</v>
      </c>
      <c r="F158" s="84">
        <v>200</v>
      </c>
      <c r="G158" s="84">
        <v>7600</v>
      </c>
      <c r="H158" s="84">
        <v>550</v>
      </c>
      <c r="I158" s="84">
        <v>20900</v>
      </c>
      <c r="J158" s="84">
        <v>13300</v>
      </c>
    </row>
    <row r="159" spans="1:10" x14ac:dyDescent="0.35">
      <c r="A159" s="5">
        <v>45815</v>
      </c>
      <c r="B159" s="3" t="s">
        <v>35</v>
      </c>
      <c r="C159" s="3">
        <v>98</v>
      </c>
      <c r="D159" s="3" t="s">
        <v>36</v>
      </c>
      <c r="E159" s="3" t="s">
        <v>37</v>
      </c>
      <c r="F159" s="84">
        <v>550</v>
      </c>
      <c r="G159" s="84">
        <v>53900</v>
      </c>
      <c r="H159" s="84">
        <v>1200</v>
      </c>
      <c r="I159" s="84">
        <v>117600</v>
      </c>
      <c r="J159" s="84">
        <v>63700</v>
      </c>
    </row>
    <row r="160" spans="1:10" x14ac:dyDescent="0.35">
      <c r="A160" s="5">
        <v>45816</v>
      </c>
      <c r="B160" s="3" t="s">
        <v>38</v>
      </c>
      <c r="C160" s="3">
        <v>37</v>
      </c>
      <c r="D160" s="3" t="s">
        <v>39</v>
      </c>
      <c r="E160" s="3" t="s">
        <v>40</v>
      </c>
      <c r="F160" s="84">
        <v>1000</v>
      </c>
      <c r="G160" s="84">
        <v>37000</v>
      </c>
      <c r="H160" s="84">
        <v>2200</v>
      </c>
      <c r="I160" s="84">
        <v>81400</v>
      </c>
      <c r="J160" s="84">
        <v>44400</v>
      </c>
    </row>
    <row r="161" spans="1:10" x14ac:dyDescent="0.35">
      <c r="A161" s="5">
        <v>45817</v>
      </c>
      <c r="B161" s="3" t="s">
        <v>41</v>
      </c>
      <c r="C161" s="3">
        <v>59</v>
      </c>
      <c r="D161" s="3" t="s">
        <v>42</v>
      </c>
      <c r="E161" s="3" t="s">
        <v>43</v>
      </c>
      <c r="F161" s="84">
        <v>550</v>
      </c>
      <c r="G161" s="84">
        <v>32450</v>
      </c>
      <c r="H161" s="84">
        <v>650</v>
      </c>
      <c r="I161" s="84">
        <v>38350</v>
      </c>
      <c r="J161" s="84">
        <v>5900</v>
      </c>
    </row>
    <row r="162" spans="1:10" x14ac:dyDescent="0.35">
      <c r="A162" s="5">
        <v>45818</v>
      </c>
      <c r="B162" s="3" t="s">
        <v>15</v>
      </c>
      <c r="C162" s="3">
        <v>14</v>
      </c>
      <c r="D162" s="3" t="s">
        <v>16</v>
      </c>
      <c r="E162" s="3" t="s">
        <v>1</v>
      </c>
      <c r="F162" s="84">
        <v>2500</v>
      </c>
      <c r="G162" s="84">
        <v>35000</v>
      </c>
      <c r="H162" s="84">
        <v>5500</v>
      </c>
      <c r="I162" s="84">
        <v>77000</v>
      </c>
      <c r="J162" s="84">
        <v>42000</v>
      </c>
    </row>
    <row r="163" spans="1:10" x14ac:dyDescent="0.35">
      <c r="A163" s="5">
        <v>45819</v>
      </c>
      <c r="B163" s="3" t="s">
        <v>17</v>
      </c>
      <c r="C163" s="3">
        <v>7</v>
      </c>
      <c r="D163" s="3" t="s">
        <v>18</v>
      </c>
      <c r="E163" s="3" t="s">
        <v>19</v>
      </c>
      <c r="F163" s="84">
        <v>1200</v>
      </c>
      <c r="G163" s="84">
        <v>8400</v>
      </c>
      <c r="H163" s="84">
        <v>2500</v>
      </c>
      <c r="I163" s="84">
        <v>17500</v>
      </c>
      <c r="J163" s="84">
        <v>9100</v>
      </c>
    </row>
    <row r="164" spans="1:10" x14ac:dyDescent="0.35">
      <c r="A164" s="5">
        <v>45820</v>
      </c>
      <c r="B164" s="3" t="s">
        <v>20</v>
      </c>
      <c r="C164" s="3">
        <v>59</v>
      </c>
      <c r="D164" s="3" t="s">
        <v>21</v>
      </c>
      <c r="E164" s="3" t="s">
        <v>22</v>
      </c>
      <c r="F164" s="84">
        <v>800</v>
      </c>
      <c r="G164" s="84">
        <v>47200</v>
      </c>
      <c r="H164" s="84">
        <v>1500</v>
      </c>
      <c r="I164" s="84">
        <v>88500</v>
      </c>
      <c r="J164" s="84">
        <v>41300</v>
      </c>
    </row>
    <row r="165" spans="1:10" x14ac:dyDescent="0.35">
      <c r="A165" s="5">
        <v>45821</v>
      </c>
      <c r="B165" s="3" t="s">
        <v>23</v>
      </c>
      <c r="C165" s="3">
        <v>54</v>
      </c>
      <c r="D165" s="3" t="s">
        <v>24</v>
      </c>
      <c r="E165" s="3" t="s">
        <v>25</v>
      </c>
      <c r="F165" s="84">
        <v>1000</v>
      </c>
      <c r="G165" s="84">
        <v>54000</v>
      </c>
      <c r="H165" s="84">
        <v>2000</v>
      </c>
      <c r="I165" s="84">
        <v>108000</v>
      </c>
      <c r="J165" s="84">
        <v>54000</v>
      </c>
    </row>
    <row r="166" spans="1:10" x14ac:dyDescent="0.35">
      <c r="A166" s="5">
        <v>45822</v>
      </c>
      <c r="B166" s="3" t="s">
        <v>26</v>
      </c>
      <c r="C166" s="3">
        <v>97</v>
      </c>
      <c r="D166" s="3" t="s">
        <v>27</v>
      </c>
      <c r="E166" s="3" t="s">
        <v>28</v>
      </c>
      <c r="F166" s="84">
        <v>1000</v>
      </c>
      <c r="G166" s="84">
        <v>97000</v>
      </c>
      <c r="H166" s="84">
        <v>2200</v>
      </c>
      <c r="I166" s="84">
        <v>213400</v>
      </c>
      <c r="J166" s="84">
        <v>116400</v>
      </c>
    </row>
    <row r="167" spans="1:10" x14ac:dyDescent="0.35">
      <c r="A167" s="5">
        <v>45823</v>
      </c>
      <c r="B167" s="3" t="s">
        <v>29</v>
      </c>
      <c r="C167" s="3">
        <v>32</v>
      </c>
      <c r="D167" s="3" t="s">
        <v>30</v>
      </c>
      <c r="E167" s="3" t="s">
        <v>31</v>
      </c>
      <c r="F167" s="84">
        <v>600</v>
      </c>
      <c r="G167" s="84">
        <v>19200</v>
      </c>
      <c r="H167" s="84">
        <v>1200</v>
      </c>
      <c r="I167" s="84">
        <v>38400</v>
      </c>
      <c r="J167" s="84">
        <v>19200</v>
      </c>
    </row>
    <row r="168" spans="1:10" x14ac:dyDescent="0.35">
      <c r="A168" s="5">
        <v>45824</v>
      </c>
      <c r="B168" s="3" t="s">
        <v>32</v>
      </c>
      <c r="C168" s="3">
        <v>95</v>
      </c>
      <c r="D168" s="3" t="s">
        <v>33</v>
      </c>
      <c r="E168" s="3" t="s">
        <v>34</v>
      </c>
      <c r="F168" s="84">
        <v>200</v>
      </c>
      <c r="G168" s="84">
        <v>19000</v>
      </c>
      <c r="H168" s="84">
        <v>550</v>
      </c>
      <c r="I168" s="84">
        <v>52250</v>
      </c>
      <c r="J168" s="84">
        <v>33250</v>
      </c>
    </row>
    <row r="169" spans="1:10" x14ac:dyDescent="0.35">
      <c r="A169" s="5">
        <v>45825</v>
      </c>
      <c r="B169" s="3" t="s">
        <v>35</v>
      </c>
      <c r="C169" s="3">
        <v>51</v>
      </c>
      <c r="D169" s="3" t="s">
        <v>36</v>
      </c>
      <c r="E169" s="3" t="s">
        <v>37</v>
      </c>
      <c r="F169" s="84">
        <v>550</v>
      </c>
      <c r="G169" s="84">
        <v>28050</v>
      </c>
      <c r="H169" s="84">
        <v>1200</v>
      </c>
      <c r="I169" s="84">
        <v>61200</v>
      </c>
      <c r="J169" s="84">
        <v>33150</v>
      </c>
    </row>
    <row r="170" spans="1:10" x14ac:dyDescent="0.35">
      <c r="A170" s="5">
        <v>45826</v>
      </c>
      <c r="B170" s="3" t="s">
        <v>38</v>
      </c>
      <c r="C170" s="3">
        <v>46</v>
      </c>
      <c r="D170" s="3" t="s">
        <v>39</v>
      </c>
      <c r="E170" s="3" t="s">
        <v>40</v>
      </c>
      <c r="F170" s="84">
        <v>1000</v>
      </c>
      <c r="G170" s="84">
        <v>46000</v>
      </c>
      <c r="H170" s="84">
        <v>2200</v>
      </c>
      <c r="I170" s="84">
        <v>101200</v>
      </c>
      <c r="J170" s="84">
        <v>55200</v>
      </c>
    </row>
    <row r="171" spans="1:10" x14ac:dyDescent="0.35">
      <c r="A171" s="5">
        <v>45827</v>
      </c>
      <c r="B171" s="3" t="s">
        <v>41</v>
      </c>
      <c r="C171" s="3">
        <v>32</v>
      </c>
      <c r="D171" s="3" t="s">
        <v>42</v>
      </c>
      <c r="E171" s="3" t="s">
        <v>43</v>
      </c>
      <c r="F171" s="84">
        <v>550</v>
      </c>
      <c r="G171" s="84">
        <v>17600</v>
      </c>
      <c r="H171" s="84">
        <v>650</v>
      </c>
      <c r="I171" s="84">
        <v>20800</v>
      </c>
      <c r="J171" s="84">
        <v>3200</v>
      </c>
    </row>
    <row r="172" spans="1:10" x14ac:dyDescent="0.35">
      <c r="A172" s="5">
        <v>45828</v>
      </c>
      <c r="B172" s="3" t="s">
        <v>15</v>
      </c>
      <c r="C172" s="3">
        <v>14</v>
      </c>
      <c r="D172" s="3" t="s">
        <v>16</v>
      </c>
      <c r="E172" s="3" t="s">
        <v>1</v>
      </c>
      <c r="F172" s="84">
        <v>2500</v>
      </c>
      <c r="G172" s="84">
        <v>35000</v>
      </c>
      <c r="H172" s="84">
        <v>5500</v>
      </c>
      <c r="I172" s="84">
        <v>77000</v>
      </c>
      <c r="J172" s="84">
        <v>42000</v>
      </c>
    </row>
    <row r="173" spans="1:10" x14ac:dyDescent="0.35">
      <c r="A173" s="5">
        <v>45829</v>
      </c>
      <c r="B173" s="3" t="s">
        <v>17</v>
      </c>
      <c r="C173" s="3">
        <v>92</v>
      </c>
      <c r="D173" s="3" t="s">
        <v>18</v>
      </c>
      <c r="E173" s="3" t="s">
        <v>19</v>
      </c>
      <c r="F173" s="84">
        <v>1200</v>
      </c>
      <c r="G173" s="84">
        <v>110400</v>
      </c>
      <c r="H173" s="84">
        <v>2500</v>
      </c>
      <c r="I173" s="84">
        <v>230000</v>
      </c>
      <c r="J173" s="84">
        <v>119600</v>
      </c>
    </row>
    <row r="174" spans="1:10" x14ac:dyDescent="0.35">
      <c r="A174" s="5">
        <v>45830</v>
      </c>
      <c r="B174" s="3" t="s">
        <v>20</v>
      </c>
      <c r="C174" s="3">
        <v>42</v>
      </c>
      <c r="D174" s="3" t="s">
        <v>21</v>
      </c>
      <c r="E174" s="3" t="s">
        <v>22</v>
      </c>
      <c r="F174" s="84">
        <v>800</v>
      </c>
      <c r="G174" s="84">
        <v>33600</v>
      </c>
      <c r="H174" s="84">
        <v>1500</v>
      </c>
      <c r="I174" s="84">
        <v>63000</v>
      </c>
      <c r="J174" s="84">
        <v>29400</v>
      </c>
    </row>
    <row r="175" spans="1:10" x14ac:dyDescent="0.35">
      <c r="A175" s="5">
        <v>45831</v>
      </c>
      <c r="B175" s="3" t="s">
        <v>23</v>
      </c>
      <c r="C175" s="3">
        <v>38</v>
      </c>
      <c r="D175" s="3" t="s">
        <v>24</v>
      </c>
      <c r="E175" s="3" t="s">
        <v>25</v>
      </c>
      <c r="F175" s="84">
        <v>1000</v>
      </c>
      <c r="G175" s="84">
        <v>38000</v>
      </c>
      <c r="H175" s="84">
        <v>2000</v>
      </c>
      <c r="I175" s="84">
        <v>76000</v>
      </c>
      <c r="J175" s="84">
        <v>38000</v>
      </c>
    </row>
    <row r="176" spans="1:10" x14ac:dyDescent="0.35">
      <c r="A176" s="5">
        <v>45832</v>
      </c>
      <c r="B176" s="3" t="s">
        <v>26</v>
      </c>
      <c r="C176" s="3">
        <v>72</v>
      </c>
      <c r="D176" s="3" t="s">
        <v>27</v>
      </c>
      <c r="E176" s="3" t="s">
        <v>28</v>
      </c>
      <c r="F176" s="84">
        <v>1000</v>
      </c>
      <c r="G176" s="84">
        <v>72000</v>
      </c>
      <c r="H176" s="84">
        <v>2200</v>
      </c>
      <c r="I176" s="84">
        <v>158400</v>
      </c>
      <c r="J176" s="84">
        <v>86400</v>
      </c>
    </row>
    <row r="177" spans="1:10" x14ac:dyDescent="0.35">
      <c r="A177" s="5">
        <v>45833</v>
      </c>
      <c r="B177" s="3" t="s">
        <v>29</v>
      </c>
      <c r="C177" s="3">
        <v>33</v>
      </c>
      <c r="D177" s="3" t="s">
        <v>30</v>
      </c>
      <c r="E177" s="3" t="s">
        <v>31</v>
      </c>
      <c r="F177" s="84">
        <v>600</v>
      </c>
      <c r="G177" s="84">
        <v>19800</v>
      </c>
      <c r="H177" s="84">
        <v>1200</v>
      </c>
      <c r="I177" s="84">
        <v>39600</v>
      </c>
      <c r="J177" s="84">
        <v>19800</v>
      </c>
    </row>
    <row r="178" spans="1:10" x14ac:dyDescent="0.35">
      <c r="A178" s="5">
        <v>45834</v>
      </c>
      <c r="B178" s="3" t="s">
        <v>32</v>
      </c>
      <c r="C178" s="3">
        <v>21</v>
      </c>
      <c r="D178" s="3" t="s">
        <v>33</v>
      </c>
      <c r="E178" s="3" t="s">
        <v>34</v>
      </c>
      <c r="F178" s="84">
        <v>200</v>
      </c>
      <c r="G178" s="84">
        <v>4200</v>
      </c>
      <c r="H178" s="84">
        <v>550</v>
      </c>
      <c r="I178" s="84">
        <v>11550</v>
      </c>
      <c r="J178" s="84">
        <v>7350</v>
      </c>
    </row>
    <row r="179" spans="1:10" x14ac:dyDescent="0.35">
      <c r="A179" s="5">
        <v>45835</v>
      </c>
      <c r="B179" s="3" t="s">
        <v>35</v>
      </c>
      <c r="C179" s="3">
        <v>38</v>
      </c>
      <c r="D179" s="3" t="s">
        <v>36</v>
      </c>
      <c r="E179" s="3" t="s">
        <v>37</v>
      </c>
      <c r="F179" s="84">
        <v>550</v>
      </c>
      <c r="G179" s="84">
        <v>20900</v>
      </c>
      <c r="H179" s="84">
        <v>1200</v>
      </c>
      <c r="I179" s="84">
        <v>45600</v>
      </c>
      <c r="J179" s="84">
        <v>24700</v>
      </c>
    </row>
    <row r="180" spans="1:10" x14ac:dyDescent="0.35">
      <c r="A180" s="5">
        <v>45836</v>
      </c>
      <c r="B180" s="3" t="s">
        <v>38</v>
      </c>
      <c r="C180" s="3">
        <v>88</v>
      </c>
      <c r="D180" s="3" t="s">
        <v>39</v>
      </c>
      <c r="E180" s="3" t="s">
        <v>40</v>
      </c>
      <c r="F180" s="84">
        <v>1000</v>
      </c>
      <c r="G180" s="84">
        <v>88000</v>
      </c>
      <c r="H180" s="84">
        <v>2200</v>
      </c>
      <c r="I180" s="84">
        <v>193600</v>
      </c>
      <c r="J180" s="84">
        <v>105600</v>
      </c>
    </row>
    <row r="181" spans="1:10" x14ac:dyDescent="0.35">
      <c r="A181" s="5">
        <v>45837</v>
      </c>
      <c r="B181" s="3" t="s">
        <v>41</v>
      </c>
      <c r="C181" s="3">
        <v>15</v>
      </c>
      <c r="D181" s="3" t="s">
        <v>42</v>
      </c>
      <c r="E181" s="3" t="s">
        <v>43</v>
      </c>
      <c r="F181" s="84">
        <v>550</v>
      </c>
      <c r="G181" s="84">
        <v>8250</v>
      </c>
      <c r="H181" s="84">
        <v>650</v>
      </c>
      <c r="I181" s="84">
        <v>9750</v>
      </c>
      <c r="J181" s="84">
        <v>1500</v>
      </c>
    </row>
    <row r="182" spans="1:10" x14ac:dyDescent="0.35">
      <c r="A182" s="5">
        <v>45838</v>
      </c>
      <c r="B182" s="3" t="s">
        <v>15</v>
      </c>
      <c r="C182" s="3">
        <v>52</v>
      </c>
      <c r="D182" s="3" t="s">
        <v>16</v>
      </c>
      <c r="E182" s="3" t="s">
        <v>1</v>
      </c>
      <c r="F182" s="84">
        <v>2500</v>
      </c>
      <c r="G182" s="84">
        <v>130000</v>
      </c>
      <c r="H182" s="84">
        <v>5500</v>
      </c>
      <c r="I182" s="84">
        <v>286000</v>
      </c>
      <c r="J182" s="84">
        <v>156000</v>
      </c>
    </row>
    <row r="183" spans="1:10" x14ac:dyDescent="0.35">
      <c r="A183" s="5">
        <v>45839</v>
      </c>
      <c r="B183" s="3" t="s">
        <v>17</v>
      </c>
      <c r="C183" s="3">
        <v>27</v>
      </c>
      <c r="D183" s="3" t="s">
        <v>18</v>
      </c>
      <c r="E183" s="3" t="s">
        <v>19</v>
      </c>
      <c r="F183" s="84">
        <v>1200</v>
      </c>
      <c r="G183" s="84">
        <v>32400</v>
      </c>
      <c r="H183" s="84">
        <v>2500</v>
      </c>
      <c r="I183" s="84">
        <v>67500</v>
      </c>
      <c r="J183" s="84">
        <v>35100</v>
      </c>
    </row>
    <row r="184" spans="1:10" x14ac:dyDescent="0.35">
      <c r="A184" s="5">
        <v>45840</v>
      </c>
      <c r="B184" s="3" t="s">
        <v>20</v>
      </c>
      <c r="C184" s="3">
        <v>51</v>
      </c>
      <c r="D184" s="3" t="s">
        <v>21</v>
      </c>
      <c r="E184" s="3" t="s">
        <v>22</v>
      </c>
      <c r="F184" s="84">
        <v>800</v>
      </c>
      <c r="G184" s="84">
        <v>40800</v>
      </c>
      <c r="H184" s="84">
        <v>1500</v>
      </c>
      <c r="I184" s="84">
        <v>76500</v>
      </c>
      <c r="J184" s="84">
        <v>35700</v>
      </c>
    </row>
    <row r="185" spans="1:10" x14ac:dyDescent="0.35">
      <c r="A185" s="5">
        <v>45841</v>
      </c>
      <c r="B185" s="3" t="s">
        <v>23</v>
      </c>
      <c r="C185" s="3">
        <v>95</v>
      </c>
      <c r="D185" s="3" t="s">
        <v>24</v>
      </c>
      <c r="E185" s="3" t="s">
        <v>25</v>
      </c>
      <c r="F185" s="84">
        <v>1000</v>
      </c>
      <c r="G185" s="84">
        <v>95000</v>
      </c>
      <c r="H185" s="84">
        <v>2000</v>
      </c>
      <c r="I185" s="84">
        <v>190000</v>
      </c>
      <c r="J185" s="84">
        <v>95000</v>
      </c>
    </row>
    <row r="186" spans="1:10" x14ac:dyDescent="0.35">
      <c r="A186" s="5">
        <v>45842</v>
      </c>
      <c r="B186" s="3" t="s">
        <v>26</v>
      </c>
      <c r="C186" s="3">
        <v>52</v>
      </c>
      <c r="D186" s="3" t="s">
        <v>27</v>
      </c>
      <c r="E186" s="3" t="s">
        <v>28</v>
      </c>
      <c r="F186" s="84">
        <v>1000</v>
      </c>
      <c r="G186" s="84">
        <v>52000</v>
      </c>
      <c r="H186" s="84">
        <v>2200</v>
      </c>
      <c r="I186" s="84">
        <v>114400</v>
      </c>
      <c r="J186" s="84">
        <v>62400</v>
      </c>
    </row>
    <row r="187" spans="1:10" x14ac:dyDescent="0.35">
      <c r="A187" s="5">
        <v>45843</v>
      </c>
      <c r="B187" s="3" t="s">
        <v>29</v>
      </c>
      <c r="C187" s="3">
        <v>75</v>
      </c>
      <c r="D187" s="3" t="s">
        <v>30</v>
      </c>
      <c r="E187" s="3" t="s">
        <v>31</v>
      </c>
      <c r="F187" s="84">
        <v>600</v>
      </c>
      <c r="G187" s="84">
        <v>45000</v>
      </c>
      <c r="H187" s="84">
        <v>1200</v>
      </c>
      <c r="I187" s="84">
        <v>90000</v>
      </c>
      <c r="J187" s="84">
        <v>45000</v>
      </c>
    </row>
    <row r="188" spans="1:10" x14ac:dyDescent="0.35">
      <c r="A188" s="5">
        <v>45844</v>
      </c>
      <c r="B188" s="3" t="s">
        <v>32</v>
      </c>
      <c r="C188" s="3">
        <v>88</v>
      </c>
      <c r="D188" s="3" t="s">
        <v>33</v>
      </c>
      <c r="E188" s="3" t="s">
        <v>34</v>
      </c>
      <c r="F188" s="84">
        <v>200</v>
      </c>
      <c r="G188" s="84">
        <v>17600</v>
      </c>
      <c r="H188" s="84">
        <v>550</v>
      </c>
      <c r="I188" s="84">
        <v>48400</v>
      </c>
      <c r="J188" s="84">
        <v>30800</v>
      </c>
    </row>
    <row r="189" spans="1:10" x14ac:dyDescent="0.35">
      <c r="A189" s="5">
        <v>45845</v>
      </c>
      <c r="B189" s="3" t="s">
        <v>35</v>
      </c>
      <c r="C189" s="3">
        <v>99</v>
      </c>
      <c r="D189" s="3" t="s">
        <v>36</v>
      </c>
      <c r="E189" s="3" t="s">
        <v>37</v>
      </c>
      <c r="F189" s="84">
        <v>550</v>
      </c>
      <c r="G189" s="84">
        <v>54450</v>
      </c>
      <c r="H189" s="84">
        <v>1200</v>
      </c>
      <c r="I189" s="84">
        <v>118800</v>
      </c>
      <c r="J189" s="84">
        <v>64350</v>
      </c>
    </row>
    <row r="190" spans="1:10" x14ac:dyDescent="0.35">
      <c r="A190" s="5">
        <v>45846</v>
      </c>
      <c r="B190" s="3" t="s">
        <v>38</v>
      </c>
      <c r="C190" s="3">
        <v>99</v>
      </c>
      <c r="D190" s="3" t="s">
        <v>39</v>
      </c>
      <c r="E190" s="3" t="s">
        <v>40</v>
      </c>
      <c r="F190" s="84">
        <v>1000</v>
      </c>
      <c r="G190" s="84">
        <v>99000</v>
      </c>
      <c r="H190" s="84">
        <v>2200</v>
      </c>
      <c r="I190" s="84">
        <v>217800</v>
      </c>
      <c r="J190" s="84">
        <v>118800</v>
      </c>
    </row>
    <row r="191" spans="1:10" x14ac:dyDescent="0.35">
      <c r="A191" s="5">
        <v>45847</v>
      </c>
      <c r="B191" s="3" t="s">
        <v>41</v>
      </c>
      <c r="C191" s="3">
        <v>72</v>
      </c>
      <c r="D191" s="3" t="s">
        <v>42</v>
      </c>
      <c r="E191" s="3" t="s">
        <v>43</v>
      </c>
      <c r="F191" s="84">
        <v>550</v>
      </c>
      <c r="G191" s="84">
        <v>39600</v>
      </c>
      <c r="H191" s="84">
        <v>650</v>
      </c>
      <c r="I191" s="84">
        <v>46800</v>
      </c>
      <c r="J191" s="84">
        <v>7200</v>
      </c>
    </row>
    <row r="192" spans="1:10" x14ac:dyDescent="0.35">
      <c r="A192" s="5">
        <v>45848</v>
      </c>
      <c r="B192" s="3" t="s">
        <v>15</v>
      </c>
      <c r="C192" s="3">
        <v>74</v>
      </c>
      <c r="D192" s="3" t="s">
        <v>16</v>
      </c>
      <c r="E192" s="3" t="s">
        <v>1</v>
      </c>
      <c r="F192" s="84">
        <v>2500</v>
      </c>
      <c r="G192" s="84">
        <v>185000</v>
      </c>
      <c r="H192" s="84">
        <v>5500</v>
      </c>
      <c r="I192" s="84">
        <v>407000</v>
      </c>
      <c r="J192" s="84">
        <v>222000</v>
      </c>
    </row>
    <row r="193" spans="1:10" x14ac:dyDescent="0.35">
      <c r="A193" s="5">
        <v>45849</v>
      </c>
      <c r="B193" s="3" t="s">
        <v>17</v>
      </c>
      <c r="C193" s="3">
        <v>21</v>
      </c>
      <c r="D193" s="3" t="s">
        <v>18</v>
      </c>
      <c r="E193" s="3" t="s">
        <v>19</v>
      </c>
      <c r="F193" s="84">
        <v>1200</v>
      </c>
      <c r="G193" s="84">
        <v>25200</v>
      </c>
      <c r="H193" s="84">
        <v>2500</v>
      </c>
      <c r="I193" s="84">
        <v>52500</v>
      </c>
      <c r="J193" s="84">
        <v>27300</v>
      </c>
    </row>
    <row r="194" spans="1:10" x14ac:dyDescent="0.35">
      <c r="A194" s="5">
        <v>45850</v>
      </c>
      <c r="B194" s="3" t="s">
        <v>20</v>
      </c>
      <c r="C194" s="3">
        <v>44</v>
      </c>
      <c r="D194" s="3" t="s">
        <v>21</v>
      </c>
      <c r="E194" s="3" t="s">
        <v>22</v>
      </c>
      <c r="F194" s="84">
        <v>800</v>
      </c>
      <c r="G194" s="84">
        <v>35200</v>
      </c>
      <c r="H194" s="84">
        <v>1500</v>
      </c>
      <c r="I194" s="84">
        <v>66000</v>
      </c>
      <c r="J194" s="84">
        <v>30800</v>
      </c>
    </row>
    <row r="195" spans="1:10" x14ac:dyDescent="0.35">
      <c r="A195" s="5">
        <v>45851</v>
      </c>
      <c r="B195" s="3" t="s">
        <v>23</v>
      </c>
      <c r="C195" s="3">
        <v>34</v>
      </c>
      <c r="D195" s="3" t="s">
        <v>24</v>
      </c>
      <c r="E195" s="3" t="s">
        <v>25</v>
      </c>
      <c r="F195" s="84">
        <v>1000</v>
      </c>
      <c r="G195" s="84">
        <v>34000</v>
      </c>
      <c r="H195" s="84">
        <v>2000</v>
      </c>
      <c r="I195" s="84">
        <v>68000</v>
      </c>
      <c r="J195" s="84">
        <v>34000</v>
      </c>
    </row>
    <row r="196" spans="1:10" x14ac:dyDescent="0.35">
      <c r="A196" s="5">
        <v>45852</v>
      </c>
      <c r="B196" s="3" t="s">
        <v>26</v>
      </c>
      <c r="C196" s="3">
        <v>81</v>
      </c>
      <c r="D196" s="3" t="s">
        <v>27</v>
      </c>
      <c r="E196" s="3" t="s">
        <v>28</v>
      </c>
      <c r="F196" s="84">
        <v>1000</v>
      </c>
      <c r="G196" s="84">
        <v>81000</v>
      </c>
      <c r="H196" s="84">
        <v>2200</v>
      </c>
      <c r="I196" s="84">
        <v>178200</v>
      </c>
      <c r="J196" s="84">
        <v>97200</v>
      </c>
    </row>
    <row r="197" spans="1:10" x14ac:dyDescent="0.35">
      <c r="A197" s="5">
        <v>45853</v>
      </c>
      <c r="B197" s="3" t="s">
        <v>29</v>
      </c>
      <c r="C197" s="3">
        <v>51</v>
      </c>
      <c r="D197" s="3" t="s">
        <v>30</v>
      </c>
      <c r="E197" s="3" t="s">
        <v>31</v>
      </c>
      <c r="F197" s="84">
        <v>600</v>
      </c>
      <c r="G197" s="84">
        <v>30600</v>
      </c>
      <c r="H197" s="84">
        <v>1200</v>
      </c>
      <c r="I197" s="84">
        <v>61200</v>
      </c>
      <c r="J197" s="84">
        <v>30600</v>
      </c>
    </row>
    <row r="198" spans="1:10" x14ac:dyDescent="0.35">
      <c r="A198" s="5">
        <v>45854</v>
      </c>
      <c r="B198" s="3" t="s">
        <v>32</v>
      </c>
      <c r="C198" s="3">
        <v>36</v>
      </c>
      <c r="D198" s="3" t="s">
        <v>33</v>
      </c>
      <c r="E198" s="3" t="s">
        <v>34</v>
      </c>
      <c r="F198" s="84">
        <v>200</v>
      </c>
      <c r="G198" s="84">
        <v>7200</v>
      </c>
      <c r="H198" s="84">
        <v>550</v>
      </c>
      <c r="I198" s="84">
        <v>19800</v>
      </c>
      <c r="J198" s="84">
        <v>12600</v>
      </c>
    </row>
    <row r="199" spans="1:10" x14ac:dyDescent="0.35">
      <c r="A199" s="5">
        <v>45855</v>
      </c>
      <c r="B199" s="3" t="s">
        <v>35</v>
      </c>
      <c r="C199" s="3">
        <v>6</v>
      </c>
      <c r="D199" s="3" t="s">
        <v>36</v>
      </c>
      <c r="E199" s="3" t="s">
        <v>37</v>
      </c>
      <c r="F199" s="84">
        <v>550</v>
      </c>
      <c r="G199" s="84">
        <v>3300</v>
      </c>
      <c r="H199" s="84">
        <v>1200</v>
      </c>
      <c r="I199" s="84">
        <v>7200</v>
      </c>
      <c r="J199" s="84">
        <v>3900</v>
      </c>
    </row>
    <row r="200" spans="1:10" x14ac:dyDescent="0.35">
      <c r="A200" s="5">
        <v>45856</v>
      </c>
      <c r="B200" s="3" t="s">
        <v>38</v>
      </c>
      <c r="C200" s="3">
        <v>68</v>
      </c>
      <c r="D200" s="3" t="s">
        <v>39</v>
      </c>
      <c r="E200" s="3" t="s">
        <v>40</v>
      </c>
      <c r="F200" s="84">
        <v>1000</v>
      </c>
      <c r="G200" s="84">
        <v>68000</v>
      </c>
      <c r="H200" s="84">
        <v>2200</v>
      </c>
      <c r="I200" s="84">
        <v>149600</v>
      </c>
      <c r="J200" s="84">
        <v>81600</v>
      </c>
    </row>
    <row r="201" spans="1:10" x14ac:dyDescent="0.35">
      <c r="A201" s="5">
        <v>45857</v>
      </c>
      <c r="B201" s="3" t="s">
        <v>41</v>
      </c>
      <c r="C201" s="3">
        <v>55</v>
      </c>
      <c r="D201" s="3" t="s">
        <v>42</v>
      </c>
      <c r="E201" s="3" t="s">
        <v>43</v>
      </c>
      <c r="F201" s="84">
        <v>550</v>
      </c>
      <c r="G201" s="84">
        <v>30250</v>
      </c>
      <c r="H201" s="84">
        <v>650</v>
      </c>
      <c r="I201" s="84">
        <v>35750</v>
      </c>
      <c r="J201" s="84">
        <v>5500</v>
      </c>
    </row>
    <row r="202" spans="1:10" x14ac:dyDescent="0.35">
      <c r="A202" s="5">
        <v>45858</v>
      </c>
      <c r="B202" s="3" t="s">
        <v>15</v>
      </c>
      <c r="C202" s="3">
        <v>75</v>
      </c>
      <c r="D202" s="3" t="s">
        <v>16</v>
      </c>
      <c r="E202" s="3" t="s">
        <v>1</v>
      </c>
      <c r="F202" s="84">
        <v>2500</v>
      </c>
      <c r="G202" s="84">
        <v>187500</v>
      </c>
      <c r="H202" s="84">
        <v>5500</v>
      </c>
      <c r="I202" s="84">
        <v>412500</v>
      </c>
      <c r="J202" s="84">
        <v>225000</v>
      </c>
    </row>
    <row r="203" spans="1:10" x14ac:dyDescent="0.35">
      <c r="A203" s="5">
        <v>45859</v>
      </c>
      <c r="B203" s="3" t="s">
        <v>17</v>
      </c>
      <c r="C203" s="3">
        <v>82</v>
      </c>
      <c r="D203" s="3" t="s">
        <v>18</v>
      </c>
      <c r="E203" s="3" t="s">
        <v>19</v>
      </c>
      <c r="F203" s="84">
        <v>1200</v>
      </c>
      <c r="G203" s="84">
        <v>98400</v>
      </c>
      <c r="H203" s="84">
        <v>2500</v>
      </c>
      <c r="I203" s="84">
        <v>205000</v>
      </c>
      <c r="J203" s="84">
        <v>106600</v>
      </c>
    </row>
    <row r="204" spans="1:10" x14ac:dyDescent="0.35">
      <c r="A204" s="5">
        <v>45860</v>
      </c>
      <c r="B204" s="3" t="s">
        <v>20</v>
      </c>
      <c r="C204" s="3">
        <v>32</v>
      </c>
      <c r="D204" s="3" t="s">
        <v>21</v>
      </c>
      <c r="E204" s="3" t="s">
        <v>22</v>
      </c>
      <c r="F204" s="84">
        <v>800</v>
      </c>
      <c r="G204" s="84">
        <v>25600</v>
      </c>
      <c r="H204" s="84">
        <v>1500</v>
      </c>
      <c r="I204" s="84">
        <v>48000</v>
      </c>
      <c r="J204" s="84">
        <v>22400</v>
      </c>
    </row>
    <row r="205" spans="1:10" x14ac:dyDescent="0.35">
      <c r="A205" s="5">
        <v>45861</v>
      </c>
      <c r="B205" s="3" t="s">
        <v>23</v>
      </c>
      <c r="C205" s="3">
        <v>70</v>
      </c>
      <c r="D205" s="3" t="s">
        <v>24</v>
      </c>
      <c r="E205" s="3" t="s">
        <v>25</v>
      </c>
      <c r="F205" s="84">
        <v>1000</v>
      </c>
      <c r="G205" s="84">
        <v>70000</v>
      </c>
      <c r="H205" s="84">
        <v>2000</v>
      </c>
      <c r="I205" s="84">
        <v>140000</v>
      </c>
      <c r="J205" s="84">
        <v>70000</v>
      </c>
    </row>
    <row r="206" spans="1:10" x14ac:dyDescent="0.35">
      <c r="A206" s="5">
        <v>45862</v>
      </c>
      <c r="B206" s="3" t="s">
        <v>26</v>
      </c>
      <c r="C206" s="3">
        <v>73</v>
      </c>
      <c r="D206" s="3" t="s">
        <v>27</v>
      </c>
      <c r="E206" s="3" t="s">
        <v>28</v>
      </c>
      <c r="F206" s="84">
        <v>1000</v>
      </c>
      <c r="G206" s="84">
        <v>73000</v>
      </c>
      <c r="H206" s="84">
        <v>2200</v>
      </c>
      <c r="I206" s="84">
        <v>160600</v>
      </c>
      <c r="J206" s="84">
        <v>87600</v>
      </c>
    </row>
    <row r="207" spans="1:10" x14ac:dyDescent="0.35">
      <c r="A207" s="5">
        <v>45863</v>
      </c>
      <c r="B207" s="3" t="s">
        <v>29</v>
      </c>
      <c r="C207" s="3">
        <v>60</v>
      </c>
      <c r="D207" s="3" t="s">
        <v>30</v>
      </c>
      <c r="E207" s="3" t="s">
        <v>31</v>
      </c>
      <c r="F207" s="84">
        <v>600</v>
      </c>
      <c r="G207" s="84">
        <v>36000</v>
      </c>
      <c r="H207" s="84">
        <v>1200</v>
      </c>
      <c r="I207" s="84">
        <v>72000</v>
      </c>
      <c r="J207" s="84">
        <v>36000</v>
      </c>
    </row>
    <row r="208" spans="1:10" x14ac:dyDescent="0.35">
      <c r="A208" s="5">
        <v>45864</v>
      </c>
      <c r="B208" s="3" t="s">
        <v>32</v>
      </c>
      <c r="C208" s="3">
        <v>1</v>
      </c>
      <c r="D208" s="3" t="s">
        <v>33</v>
      </c>
      <c r="E208" s="3" t="s">
        <v>34</v>
      </c>
      <c r="F208" s="84">
        <v>200</v>
      </c>
      <c r="G208" s="84">
        <v>200</v>
      </c>
      <c r="H208" s="84">
        <v>550</v>
      </c>
      <c r="I208" s="84">
        <v>550</v>
      </c>
      <c r="J208" s="84">
        <v>350</v>
      </c>
    </row>
    <row r="209" spans="1:10" x14ac:dyDescent="0.35">
      <c r="A209" s="5">
        <v>45865</v>
      </c>
      <c r="B209" s="3" t="s">
        <v>35</v>
      </c>
      <c r="C209" s="3">
        <v>69</v>
      </c>
      <c r="D209" s="3" t="s">
        <v>36</v>
      </c>
      <c r="E209" s="3" t="s">
        <v>37</v>
      </c>
      <c r="F209" s="84">
        <v>550</v>
      </c>
      <c r="G209" s="84">
        <v>37950</v>
      </c>
      <c r="H209" s="84">
        <v>1200</v>
      </c>
      <c r="I209" s="84">
        <v>82800</v>
      </c>
      <c r="J209" s="84">
        <v>44850</v>
      </c>
    </row>
    <row r="210" spans="1:10" x14ac:dyDescent="0.35">
      <c r="A210" s="5">
        <v>45866</v>
      </c>
      <c r="B210" s="3" t="s">
        <v>38</v>
      </c>
      <c r="C210" s="3">
        <v>20</v>
      </c>
      <c r="D210" s="3" t="s">
        <v>39</v>
      </c>
      <c r="E210" s="3" t="s">
        <v>40</v>
      </c>
      <c r="F210" s="84">
        <v>1000</v>
      </c>
      <c r="G210" s="84">
        <v>20000</v>
      </c>
      <c r="H210" s="84">
        <v>2200</v>
      </c>
      <c r="I210" s="84">
        <v>44000</v>
      </c>
      <c r="J210" s="84">
        <v>24000</v>
      </c>
    </row>
    <row r="211" spans="1:10" x14ac:dyDescent="0.35">
      <c r="A211" s="5">
        <v>45867</v>
      </c>
      <c r="B211" s="3" t="s">
        <v>41</v>
      </c>
      <c r="C211" s="3">
        <v>12</v>
      </c>
      <c r="D211" s="3" t="s">
        <v>42</v>
      </c>
      <c r="E211" s="3" t="s">
        <v>43</v>
      </c>
      <c r="F211" s="84">
        <v>550</v>
      </c>
      <c r="G211" s="84">
        <v>6600</v>
      </c>
      <c r="H211" s="84">
        <v>650</v>
      </c>
      <c r="I211" s="84">
        <v>7800</v>
      </c>
      <c r="J211" s="84">
        <v>1200</v>
      </c>
    </row>
    <row r="212" spans="1:10" x14ac:dyDescent="0.35">
      <c r="A212" s="5">
        <v>45868</v>
      </c>
      <c r="B212" s="3" t="s">
        <v>15</v>
      </c>
      <c r="C212" s="3">
        <v>5</v>
      </c>
      <c r="D212" s="3" t="s">
        <v>16</v>
      </c>
      <c r="E212" s="3" t="s">
        <v>1</v>
      </c>
      <c r="F212" s="84">
        <v>2500</v>
      </c>
      <c r="G212" s="84">
        <v>12500</v>
      </c>
      <c r="H212" s="84">
        <v>5500</v>
      </c>
      <c r="I212" s="84">
        <v>27500</v>
      </c>
      <c r="J212" s="84">
        <v>15000</v>
      </c>
    </row>
    <row r="213" spans="1:10" x14ac:dyDescent="0.35">
      <c r="A213" s="5">
        <v>45869</v>
      </c>
      <c r="B213" s="3" t="s">
        <v>17</v>
      </c>
      <c r="C213" s="3">
        <v>35</v>
      </c>
      <c r="D213" s="3" t="s">
        <v>18</v>
      </c>
      <c r="E213" s="3" t="s">
        <v>19</v>
      </c>
      <c r="F213" s="84">
        <v>1200</v>
      </c>
      <c r="G213" s="84">
        <v>42000</v>
      </c>
      <c r="H213" s="84">
        <v>2500</v>
      </c>
      <c r="I213" s="84">
        <v>87500</v>
      </c>
      <c r="J213" s="84">
        <v>45500</v>
      </c>
    </row>
    <row r="214" spans="1:10" x14ac:dyDescent="0.35">
      <c r="A214" s="5">
        <v>45870</v>
      </c>
      <c r="B214" s="3" t="s">
        <v>20</v>
      </c>
      <c r="C214" s="3">
        <v>54</v>
      </c>
      <c r="D214" s="3" t="s">
        <v>21</v>
      </c>
      <c r="E214" s="3" t="s">
        <v>22</v>
      </c>
      <c r="F214" s="84">
        <v>800</v>
      </c>
      <c r="G214" s="84">
        <v>43200</v>
      </c>
      <c r="H214" s="84">
        <v>1500</v>
      </c>
      <c r="I214" s="84">
        <v>81000</v>
      </c>
      <c r="J214" s="84">
        <v>37800</v>
      </c>
    </row>
    <row r="215" spans="1:10" x14ac:dyDescent="0.35">
      <c r="A215" s="5">
        <v>45871</v>
      </c>
      <c r="B215" s="3" t="s">
        <v>23</v>
      </c>
      <c r="C215" s="3">
        <v>41</v>
      </c>
      <c r="D215" s="3" t="s">
        <v>24</v>
      </c>
      <c r="E215" s="3" t="s">
        <v>25</v>
      </c>
      <c r="F215" s="84">
        <v>1000</v>
      </c>
      <c r="G215" s="84">
        <v>41000</v>
      </c>
      <c r="H215" s="84">
        <v>2000</v>
      </c>
      <c r="I215" s="84">
        <v>82000</v>
      </c>
      <c r="J215" s="84">
        <v>41000</v>
      </c>
    </row>
    <row r="216" spans="1:10" x14ac:dyDescent="0.35">
      <c r="A216" s="5">
        <v>45872</v>
      </c>
      <c r="B216" s="3" t="s">
        <v>26</v>
      </c>
      <c r="C216" s="3">
        <v>60</v>
      </c>
      <c r="D216" s="3" t="s">
        <v>27</v>
      </c>
      <c r="E216" s="3" t="s">
        <v>28</v>
      </c>
      <c r="F216" s="84">
        <v>1000</v>
      </c>
      <c r="G216" s="84">
        <v>60000</v>
      </c>
      <c r="H216" s="84">
        <v>2200</v>
      </c>
      <c r="I216" s="84">
        <v>132000</v>
      </c>
      <c r="J216" s="84">
        <v>72000</v>
      </c>
    </row>
    <row r="217" spans="1:10" x14ac:dyDescent="0.35">
      <c r="A217" s="5">
        <v>45873</v>
      </c>
      <c r="B217" s="3" t="s">
        <v>29</v>
      </c>
      <c r="C217" s="3">
        <v>30</v>
      </c>
      <c r="D217" s="3" t="s">
        <v>30</v>
      </c>
      <c r="E217" s="3" t="s">
        <v>31</v>
      </c>
      <c r="F217" s="84">
        <v>600</v>
      </c>
      <c r="G217" s="84">
        <v>18000</v>
      </c>
      <c r="H217" s="84">
        <v>1200</v>
      </c>
      <c r="I217" s="84">
        <v>36000</v>
      </c>
      <c r="J217" s="84">
        <v>18000</v>
      </c>
    </row>
    <row r="218" spans="1:10" x14ac:dyDescent="0.35">
      <c r="A218" s="5">
        <v>45874</v>
      </c>
      <c r="B218" s="3" t="s">
        <v>32</v>
      </c>
      <c r="C218" s="3">
        <v>86</v>
      </c>
      <c r="D218" s="3" t="s">
        <v>33</v>
      </c>
      <c r="E218" s="3" t="s">
        <v>34</v>
      </c>
      <c r="F218" s="84">
        <v>200</v>
      </c>
      <c r="G218" s="84">
        <v>17200</v>
      </c>
      <c r="H218" s="84">
        <v>550</v>
      </c>
      <c r="I218" s="84">
        <v>47300</v>
      </c>
      <c r="J218" s="84">
        <v>30100</v>
      </c>
    </row>
    <row r="219" spans="1:10" x14ac:dyDescent="0.35">
      <c r="A219" s="5">
        <v>45875</v>
      </c>
      <c r="B219" s="3" t="s">
        <v>35</v>
      </c>
      <c r="C219" s="3">
        <v>70</v>
      </c>
      <c r="D219" s="3" t="s">
        <v>36</v>
      </c>
      <c r="E219" s="3" t="s">
        <v>37</v>
      </c>
      <c r="F219" s="84">
        <v>550</v>
      </c>
      <c r="G219" s="84">
        <v>38500</v>
      </c>
      <c r="H219" s="84">
        <v>1200</v>
      </c>
      <c r="I219" s="84">
        <v>84000</v>
      </c>
      <c r="J219" s="84">
        <v>45500</v>
      </c>
    </row>
    <row r="220" spans="1:10" x14ac:dyDescent="0.35">
      <c r="A220" s="5">
        <v>45876</v>
      </c>
      <c r="B220" s="3" t="s">
        <v>38</v>
      </c>
      <c r="C220" s="3">
        <v>4</v>
      </c>
      <c r="D220" s="3" t="s">
        <v>39</v>
      </c>
      <c r="E220" s="3" t="s">
        <v>40</v>
      </c>
      <c r="F220" s="84">
        <v>1000</v>
      </c>
      <c r="G220" s="84">
        <v>4000</v>
      </c>
      <c r="H220" s="84">
        <v>2200</v>
      </c>
      <c r="I220" s="84">
        <v>8800</v>
      </c>
      <c r="J220" s="84">
        <v>4800</v>
      </c>
    </row>
    <row r="221" spans="1:10" x14ac:dyDescent="0.35">
      <c r="A221" s="5">
        <v>45877</v>
      </c>
      <c r="B221" s="3" t="s">
        <v>41</v>
      </c>
      <c r="C221" s="3">
        <v>36</v>
      </c>
      <c r="D221" s="3" t="s">
        <v>42</v>
      </c>
      <c r="E221" s="3" t="s">
        <v>43</v>
      </c>
      <c r="F221" s="84">
        <v>550</v>
      </c>
      <c r="G221" s="84">
        <v>19800</v>
      </c>
      <c r="H221" s="84">
        <v>650</v>
      </c>
      <c r="I221" s="84">
        <v>23400</v>
      </c>
      <c r="J221" s="84">
        <v>3600</v>
      </c>
    </row>
    <row r="222" spans="1:10" x14ac:dyDescent="0.35">
      <c r="A222" s="5">
        <v>45878</v>
      </c>
      <c r="B222" s="3" t="s">
        <v>15</v>
      </c>
      <c r="C222" s="3">
        <v>89</v>
      </c>
      <c r="D222" s="3" t="s">
        <v>16</v>
      </c>
      <c r="E222" s="3" t="s">
        <v>1</v>
      </c>
      <c r="F222" s="84">
        <v>2500</v>
      </c>
      <c r="G222" s="84">
        <v>222500</v>
      </c>
      <c r="H222" s="84">
        <v>5500</v>
      </c>
      <c r="I222" s="84">
        <v>489500</v>
      </c>
      <c r="J222" s="84">
        <v>267000</v>
      </c>
    </row>
    <row r="223" spans="1:10" x14ac:dyDescent="0.35">
      <c r="A223" s="5">
        <v>45879</v>
      </c>
      <c r="B223" s="3" t="s">
        <v>17</v>
      </c>
      <c r="C223" s="3">
        <v>47</v>
      </c>
      <c r="D223" s="3" t="s">
        <v>18</v>
      </c>
      <c r="E223" s="3" t="s">
        <v>19</v>
      </c>
      <c r="F223" s="84">
        <v>1200</v>
      </c>
      <c r="G223" s="84">
        <v>56400</v>
      </c>
      <c r="H223" s="84">
        <v>2500</v>
      </c>
      <c r="I223" s="84">
        <v>117500</v>
      </c>
      <c r="J223" s="84">
        <v>61100</v>
      </c>
    </row>
    <row r="224" spans="1:10" x14ac:dyDescent="0.35">
      <c r="A224" s="5">
        <v>45880</v>
      </c>
      <c r="B224" s="3" t="s">
        <v>20</v>
      </c>
      <c r="C224" s="3">
        <v>75</v>
      </c>
      <c r="D224" s="3" t="s">
        <v>21</v>
      </c>
      <c r="E224" s="3" t="s">
        <v>22</v>
      </c>
      <c r="F224" s="84">
        <v>800</v>
      </c>
      <c r="G224" s="84">
        <v>60000</v>
      </c>
      <c r="H224" s="84">
        <v>1500</v>
      </c>
      <c r="I224" s="84">
        <v>112500</v>
      </c>
      <c r="J224" s="84">
        <v>52500</v>
      </c>
    </row>
    <row r="225" spans="1:10" x14ac:dyDescent="0.35">
      <c r="A225" s="5">
        <v>45881</v>
      </c>
      <c r="B225" s="3" t="s">
        <v>23</v>
      </c>
      <c r="C225" s="3">
        <v>8</v>
      </c>
      <c r="D225" s="3" t="s">
        <v>24</v>
      </c>
      <c r="E225" s="3" t="s">
        <v>25</v>
      </c>
      <c r="F225" s="84">
        <v>1000</v>
      </c>
      <c r="G225" s="84">
        <v>8000</v>
      </c>
      <c r="H225" s="84">
        <v>2000</v>
      </c>
      <c r="I225" s="84">
        <v>16000</v>
      </c>
      <c r="J225" s="84">
        <v>8000</v>
      </c>
    </row>
    <row r="226" spans="1:10" x14ac:dyDescent="0.35">
      <c r="A226" s="5">
        <v>45882</v>
      </c>
      <c r="B226" s="3" t="s">
        <v>26</v>
      </c>
      <c r="C226" s="3">
        <v>89</v>
      </c>
      <c r="D226" s="3" t="s">
        <v>27</v>
      </c>
      <c r="E226" s="3" t="s">
        <v>28</v>
      </c>
      <c r="F226" s="84">
        <v>1000</v>
      </c>
      <c r="G226" s="84">
        <v>89000</v>
      </c>
      <c r="H226" s="84">
        <v>2200</v>
      </c>
      <c r="I226" s="84">
        <v>195800</v>
      </c>
      <c r="J226" s="84">
        <v>106800</v>
      </c>
    </row>
    <row r="227" spans="1:10" x14ac:dyDescent="0.35">
      <c r="A227" s="5">
        <v>45883</v>
      </c>
      <c r="B227" s="3" t="s">
        <v>29</v>
      </c>
      <c r="C227" s="3">
        <v>28</v>
      </c>
      <c r="D227" s="3" t="s">
        <v>30</v>
      </c>
      <c r="E227" s="3" t="s">
        <v>31</v>
      </c>
      <c r="F227" s="84">
        <v>600</v>
      </c>
      <c r="G227" s="84">
        <v>16800</v>
      </c>
      <c r="H227" s="84">
        <v>1200</v>
      </c>
      <c r="I227" s="84">
        <v>33600</v>
      </c>
      <c r="J227" s="84">
        <v>16800</v>
      </c>
    </row>
    <row r="228" spans="1:10" x14ac:dyDescent="0.35">
      <c r="A228" s="5">
        <v>45884</v>
      </c>
      <c r="B228" s="3" t="s">
        <v>32</v>
      </c>
      <c r="C228" s="3">
        <v>80</v>
      </c>
      <c r="D228" s="3" t="s">
        <v>33</v>
      </c>
      <c r="E228" s="3" t="s">
        <v>34</v>
      </c>
      <c r="F228" s="84">
        <v>200</v>
      </c>
      <c r="G228" s="84">
        <v>16000</v>
      </c>
      <c r="H228" s="84">
        <v>550</v>
      </c>
      <c r="I228" s="84">
        <v>44000</v>
      </c>
      <c r="J228" s="84">
        <v>28000</v>
      </c>
    </row>
    <row r="229" spans="1:10" x14ac:dyDescent="0.35">
      <c r="A229" s="5">
        <v>45885</v>
      </c>
      <c r="B229" s="3" t="s">
        <v>35</v>
      </c>
      <c r="C229" s="3">
        <v>43</v>
      </c>
      <c r="D229" s="3" t="s">
        <v>36</v>
      </c>
      <c r="E229" s="3" t="s">
        <v>37</v>
      </c>
      <c r="F229" s="84">
        <v>550</v>
      </c>
      <c r="G229" s="84">
        <v>23650</v>
      </c>
      <c r="H229" s="84">
        <v>1200</v>
      </c>
      <c r="I229" s="84">
        <v>51600</v>
      </c>
      <c r="J229" s="84">
        <v>27950</v>
      </c>
    </row>
    <row r="230" spans="1:10" x14ac:dyDescent="0.35">
      <c r="A230" s="5">
        <v>45886</v>
      </c>
      <c r="B230" s="3" t="s">
        <v>38</v>
      </c>
      <c r="C230" s="3">
        <v>44</v>
      </c>
      <c r="D230" s="3" t="s">
        <v>39</v>
      </c>
      <c r="E230" s="3" t="s">
        <v>40</v>
      </c>
      <c r="F230" s="84">
        <v>1000</v>
      </c>
      <c r="G230" s="84">
        <v>44000</v>
      </c>
      <c r="H230" s="84">
        <v>2200</v>
      </c>
      <c r="I230" s="84">
        <v>96800</v>
      </c>
      <c r="J230" s="84">
        <v>52800</v>
      </c>
    </row>
    <row r="231" spans="1:10" x14ac:dyDescent="0.35">
      <c r="A231" s="5">
        <v>45887</v>
      </c>
      <c r="B231" s="3" t="s">
        <v>41</v>
      </c>
      <c r="C231" s="3">
        <v>63</v>
      </c>
      <c r="D231" s="3" t="s">
        <v>42</v>
      </c>
      <c r="E231" s="3" t="s">
        <v>43</v>
      </c>
      <c r="F231" s="84">
        <v>550</v>
      </c>
      <c r="G231" s="84">
        <v>34650</v>
      </c>
      <c r="H231" s="84">
        <v>650</v>
      </c>
      <c r="I231" s="84">
        <v>40950</v>
      </c>
      <c r="J231" s="84">
        <v>6300</v>
      </c>
    </row>
    <row r="232" spans="1:10" x14ac:dyDescent="0.35">
      <c r="A232" s="5">
        <v>45888</v>
      </c>
      <c r="B232" s="3" t="s">
        <v>15</v>
      </c>
      <c r="C232" s="3">
        <v>77</v>
      </c>
      <c r="D232" s="3" t="s">
        <v>16</v>
      </c>
      <c r="E232" s="3" t="s">
        <v>1</v>
      </c>
      <c r="F232" s="84">
        <v>2500</v>
      </c>
      <c r="G232" s="84">
        <v>192500</v>
      </c>
      <c r="H232" s="84">
        <v>5500</v>
      </c>
      <c r="I232" s="84">
        <v>423500</v>
      </c>
      <c r="J232" s="84">
        <v>231000</v>
      </c>
    </row>
    <row r="233" spans="1:10" x14ac:dyDescent="0.35">
      <c r="A233" s="5">
        <v>45889</v>
      </c>
      <c r="B233" s="3" t="s">
        <v>17</v>
      </c>
      <c r="C233" s="3">
        <v>46</v>
      </c>
      <c r="D233" s="3" t="s">
        <v>18</v>
      </c>
      <c r="E233" s="3" t="s">
        <v>19</v>
      </c>
      <c r="F233" s="84">
        <v>1200</v>
      </c>
      <c r="G233" s="84">
        <v>55200</v>
      </c>
      <c r="H233" s="84">
        <v>2500</v>
      </c>
      <c r="I233" s="84">
        <v>115000</v>
      </c>
      <c r="J233" s="84">
        <v>59800</v>
      </c>
    </row>
    <row r="234" spans="1:10" x14ac:dyDescent="0.35">
      <c r="A234" s="5">
        <v>45890</v>
      </c>
      <c r="B234" s="3" t="s">
        <v>20</v>
      </c>
      <c r="C234" s="3">
        <v>54</v>
      </c>
      <c r="D234" s="3" t="s">
        <v>21</v>
      </c>
      <c r="E234" s="3" t="s">
        <v>22</v>
      </c>
      <c r="F234" s="84">
        <v>800</v>
      </c>
      <c r="G234" s="84">
        <v>43200</v>
      </c>
      <c r="H234" s="84">
        <v>1500</v>
      </c>
      <c r="I234" s="84">
        <v>81000</v>
      </c>
      <c r="J234" s="84">
        <v>37800</v>
      </c>
    </row>
    <row r="235" spans="1:10" x14ac:dyDescent="0.35">
      <c r="A235" s="5">
        <v>45891</v>
      </c>
      <c r="B235" s="3" t="s">
        <v>23</v>
      </c>
      <c r="C235" s="3">
        <v>85</v>
      </c>
      <c r="D235" s="3" t="s">
        <v>24</v>
      </c>
      <c r="E235" s="3" t="s">
        <v>25</v>
      </c>
      <c r="F235" s="84">
        <v>1000</v>
      </c>
      <c r="G235" s="84">
        <v>85000</v>
      </c>
      <c r="H235" s="84">
        <v>2000</v>
      </c>
      <c r="I235" s="84">
        <v>170000</v>
      </c>
      <c r="J235" s="84">
        <v>85000</v>
      </c>
    </row>
    <row r="236" spans="1:10" x14ac:dyDescent="0.35">
      <c r="A236" s="5">
        <v>45892</v>
      </c>
      <c r="B236" s="3" t="s">
        <v>26</v>
      </c>
      <c r="C236" s="3">
        <v>37</v>
      </c>
      <c r="D236" s="3" t="s">
        <v>27</v>
      </c>
      <c r="E236" s="3" t="s">
        <v>28</v>
      </c>
      <c r="F236" s="84">
        <v>1000</v>
      </c>
      <c r="G236" s="84">
        <v>37000</v>
      </c>
      <c r="H236" s="84">
        <v>2200</v>
      </c>
      <c r="I236" s="84">
        <v>81400</v>
      </c>
      <c r="J236" s="84">
        <v>44400</v>
      </c>
    </row>
    <row r="237" spans="1:10" x14ac:dyDescent="0.35">
      <c r="A237" s="5">
        <v>45893</v>
      </c>
      <c r="B237" s="3" t="s">
        <v>29</v>
      </c>
      <c r="C237" s="3">
        <v>93</v>
      </c>
      <c r="D237" s="3" t="s">
        <v>30</v>
      </c>
      <c r="E237" s="3" t="s">
        <v>31</v>
      </c>
      <c r="F237" s="84">
        <v>600</v>
      </c>
      <c r="G237" s="84">
        <v>55800</v>
      </c>
      <c r="H237" s="84">
        <v>1200</v>
      </c>
      <c r="I237" s="84">
        <v>111600</v>
      </c>
      <c r="J237" s="84">
        <v>55800</v>
      </c>
    </row>
    <row r="238" spans="1:10" x14ac:dyDescent="0.35">
      <c r="A238" s="5">
        <v>45894</v>
      </c>
      <c r="B238" s="3" t="s">
        <v>32</v>
      </c>
      <c r="C238" s="3">
        <v>86</v>
      </c>
      <c r="D238" s="3" t="s">
        <v>33</v>
      </c>
      <c r="E238" s="3" t="s">
        <v>34</v>
      </c>
      <c r="F238" s="84">
        <v>200</v>
      </c>
      <c r="G238" s="84">
        <v>17200</v>
      </c>
      <c r="H238" s="84">
        <v>550</v>
      </c>
      <c r="I238" s="84">
        <v>47300</v>
      </c>
      <c r="J238" s="84">
        <v>30100</v>
      </c>
    </row>
    <row r="239" spans="1:10" x14ac:dyDescent="0.35">
      <c r="A239" s="5">
        <v>45895</v>
      </c>
      <c r="B239" s="3" t="s">
        <v>35</v>
      </c>
      <c r="C239" s="3">
        <v>10</v>
      </c>
      <c r="D239" s="3" t="s">
        <v>36</v>
      </c>
      <c r="E239" s="3" t="s">
        <v>37</v>
      </c>
      <c r="F239" s="84">
        <v>550</v>
      </c>
      <c r="G239" s="84">
        <v>5500</v>
      </c>
      <c r="H239" s="84">
        <v>1200</v>
      </c>
      <c r="I239" s="84">
        <v>12000</v>
      </c>
      <c r="J239" s="84">
        <v>6500</v>
      </c>
    </row>
    <row r="240" spans="1:10" x14ac:dyDescent="0.35">
      <c r="A240" s="5">
        <v>45896</v>
      </c>
      <c r="B240" s="3" t="s">
        <v>38</v>
      </c>
      <c r="C240" s="3">
        <v>90</v>
      </c>
      <c r="D240" s="3" t="s">
        <v>39</v>
      </c>
      <c r="E240" s="3" t="s">
        <v>40</v>
      </c>
      <c r="F240" s="84">
        <v>1000</v>
      </c>
      <c r="G240" s="84">
        <v>90000</v>
      </c>
      <c r="H240" s="84">
        <v>2200</v>
      </c>
      <c r="I240" s="84">
        <v>198000</v>
      </c>
      <c r="J240" s="84">
        <v>108000</v>
      </c>
    </row>
    <row r="241" spans="1:10" x14ac:dyDescent="0.35">
      <c r="A241" s="5">
        <v>45897</v>
      </c>
      <c r="B241" s="3" t="s">
        <v>41</v>
      </c>
      <c r="C241" s="3">
        <v>24</v>
      </c>
      <c r="D241" s="3" t="s">
        <v>42</v>
      </c>
      <c r="E241" s="3" t="s">
        <v>43</v>
      </c>
      <c r="F241" s="84">
        <v>550</v>
      </c>
      <c r="G241" s="84">
        <v>13200</v>
      </c>
      <c r="H241" s="84">
        <v>650</v>
      </c>
      <c r="I241" s="84">
        <v>15600</v>
      </c>
      <c r="J241" s="84">
        <v>2400</v>
      </c>
    </row>
    <row r="242" spans="1:10" x14ac:dyDescent="0.35">
      <c r="A242" s="5">
        <v>45898</v>
      </c>
      <c r="B242" s="3" t="s">
        <v>15</v>
      </c>
      <c r="C242" s="3">
        <v>75</v>
      </c>
      <c r="D242" s="3" t="s">
        <v>16</v>
      </c>
      <c r="E242" s="3" t="s">
        <v>1</v>
      </c>
      <c r="F242" s="84">
        <v>2500</v>
      </c>
      <c r="G242" s="84">
        <v>187500</v>
      </c>
      <c r="H242" s="84">
        <v>5500</v>
      </c>
      <c r="I242" s="84">
        <v>412500</v>
      </c>
      <c r="J242" s="84">
        <v>225000</v>
      </c>
    </row>
    <row r="243" spans="1:10" x14ac:dyDescent="0.35">
      <c r="A243" s="5">
        <v>45899</v>
      </c>
      <c r="B243" s="3" t="s">
        <v>17</v>
      </c>
      <c r="C243" s="3">
        <v>74</v>
      </c>
      <c r="D243" s="3" t="s">
        <v>18</v>
      </c>
      <c r="E243" s="3" t="s">
        <v>19</v>
      </c>
      <c r="F243" s="84">
        <v>1200</v>
      </c>
      <c r="G243" s="84">
        <v>88800</v>
      </c>
      <c r="H243" s="84">
        <v>2500</v>
      </c>
      <c r="I243" s="84">
        <v>185000</v>
      </c>
      <c r="J243" s="84">
        <v>96200</v>
      </c>
    </row>
    <row r="244" spans="1:10" x14ac:dyDescent="0.35">
      <c r="A244" s="5">
        <v>45900</v>
      </c>
      <c r="B244" s="3" t="s">
        <v>20</v>
      </c>
      <c r="C244" s="3">
        <v>86</v>
      </c>
      <c r="D244" s="3" t="s">
        <v>21</v>
      </c>
      <c r="E244" s="3" t="s">
        <v>22</v>
      </c>
      <c r="F244" s="84">
        <v>800</v>
      </c>
      <c r="G244" s="84">
        <v>68800</v>
      </c>
      <c r="H244" s="84">
        <v>1500</v>
      </c>
      <c r="I244" s="84">
        <v>129000</v>
      </c>
      <c r="J244" s="84">
        <v>60200</v>
      </c>
    </row>
    <row r="245" spans="1:10" x14ac:dyDescent="0.35">
      <c r="A245" s="5">
        <v>45901</v>
      </c>
      <c r="B245" s="3" t="s">
        <v>23</v>
      </c>
      <c r="C245" s="3">
        <v>41</v>
      </c>
      <c r="D245" s="3" t="s">
        <v>24</v>
      </c>
      <c r="E245" s="3" t="s">
        <v>25</v>
      </c>
      <c r="F245" s="84">
        <v>1000</v>
      </c>
      <c r="G245" s="84">
        <v>41000</v>
      </c>
      <c r="H245" s="84">
        <v>2000</v>
      </c>
      <c r="I245" s="84">
        <v>82000</v>
      </c>
      <c r="J245" s="84">
        <v>41000</v>
      </c>
    </row>
    <row r="246" spans="1:10" x14ac:dyDescent="0.35">
      <c r="A246" s="5">
        <v>45902</v>
      </c>
      <c r="B246" s="3" t="s">
        <v>26</v>
      </c>
      <c r="C246" s="3">
        <v>53</v>
      </c>
      <c r="D246" s="3" t="s">
        <v>27</v>
      </c>
      <c r="E246" s="3" t="s">
        <v>28</v>
      </c>
      <c r="F246" s="84">
        <v>1000</v>
      </c>
      <c r="G246" s="84">
        <v>53000</v>
      </c>
      <c r="H246" s="84">
        <v>2200</v>
      </c>
      <c r="I246" s="84">
        <v>116600</v>
      </c>
      <c r="J246" s="84">
        <v>63600</v>
      </c>
    </row>
    <row r="247" spans="1:10" x14ac:dyDescent="0.35">
      <c r="A247" s="5">
        <v>45903</v>
      </c>
      <c r="B247" s="3" t="s">
        <v>29</v>
      </c>
      <c r="C247" s="3">
        <v>7</v>
      </c>
      <c r="D247" s="3" t="s">
        <v>30</v>
      </c>
      <c r="E247" s="3" t="s">
        <v>31</v>
      </c>
      <c r="F247" s="84">
        <v>600</v>
      </c>
      <c r="G247" s="84">
        <v>4200</v>
      </c>
      <c r="H247" s="84">
        <v>1200</v>
      </c>
      <c r="I247" s="84">
        <v>8400</v>
      </c>
      <c r="J247" s="84">
        <v>4200</v>
      </c>
    </row>
    <row r="248" spans="1:10" x14ac:dyDescent="0.35">
      <c r="A248" s="5">
        <v>45904</v>
      </c>
      <c r="B248" s="3" t="s">
        <v>32</v>
      </c>
      <c r="C248" s="3">
        <v>69</v>
      </c>
      <c r="D248" s="3" t="s">
        <v>33</v>
      </c>
      <c r="E248" s="3" t="s">
        <v>34</v>
      </c>
      <c r="F248" s="84">
        <v>200</v>
      </c>
      <c r="G248" s="84">
        <v>13800</v>
      </c>
      <c r="H248" s="84">
        <v>550</v>
      </c>
      <c r="I248" s="84">
        <v>37950</v>
      </c>
      <c r="J248" s="84">
        <v>24150</v>
      </c>
    </row>
    <row r="249" spans="1:10" x14ac:dyDescent="0.35">
      <c r="A249" s="5">
        <v>45905</v>
      </c>
      <c r="B249" s="3" t="s">
        <v>35</v>
      </c>
      <c r="C249" s="3">
        <v>56</v>
      </c>
      <c r="D249" s="3" t="s">
        <v>36</v>
      </c>
      <c r="E249" s="3" t="s">
        <v>37</v>
      </c>
      <c r="F249" s="84">
        <v>550</v>
      </c>
      <c r="G249" s="84">
        <v>30800</v>
      </c>
      <c r="H249" s="84">
        <v>1200</v>
      </c>
      <c r="I249" s="84">
        <v>67200</v>
      </c>
      <c r="J249" s="84">
        <v>36400</v>
      </c>
    </row>
    <row r="250" spans="1:10" x14ac:dyDescent="0.35">
      <c r="A250" s="5">
        <v>45906</v>
      </c>
      <c r="B250" s="3" t="s">
        <v>38</v>
      </c>
      <c r="C250" s="3">
        <v>59</v>
      </c>
      <c r="D250" s="3" t="s">
        <v>39</v>
      </c>
      <c r="E250" s="3" t="s">
        <v>40</v>
      </c>
      <c r="F250" s="84">
        <v>1000</v>
      </c>
      <c r="G250" s="84">
        <v>59000</v>
      </c>
      <c r="H250" s="84">
        <v>2200</v>
      </c>
      <c r="I250" s="84">
        <v>129800</v>
      </c>
      <c r="J250" s="84">
        <v>70800</v>
      </c>
    </row>
    <row r="251" spans="1:10" x14ac:dyDescent="0.35">
      <c r="A251" s="5">
        <v>45907</v>
      </c>
      <c r="B251" s="3" t="s">
        <v>41</v>
      </c>
      <c r="C251" s="3">
        <v>40</v>
      </c>
      <c r="D251" s="3" t="s">
        <v>42</v>
      </c>
      <c r="E251" s="3" t="s">
        <v>43</v>
      </c>
      <c r="F251" s="84">
        <v>550</v>
      </c>
      <c r="G251" s="84">
        <v>22000</v>
      </c>
      <c r="H251" s="84">
        <v>650</v>
      </c>
      <c r="I251" s="84">
        <v>26000</v>
      </c>
      <c r="J251" s="84">
        <v>4000</v>
      </c>
    </row>
    <row r="252" spans="1:10" x14ac:dyDescent="0.35">
      <c r="A252" s="5">
        <v>45908</v>
      </c>
      <c r="B252" s="3" t="s">
        <v>15</v>
      </c>
      <c r="C252" s="3">
        <v>64</v>
      </c>
      <c r="D252" s="3" t="s">
        <v>16</v>
      </c>
      <c r="E252" s="3" t="s">
        <v>1</v>
      </c>
      <c r="F252" s="84">
        <v>2500</v>
      </c>
      <c r="G252" s="84">
        <v>160000</v>
      </c>
      <c r="H252" s="84">
        <v>5500</v>
      </c>
      <c r="I252" s="84">
        <v>352000</v>
      </c>
      <c r="J252" s="84">
        <v>192000</v>
      </c>
    </row>
    <row r="253" spans="1:10" x14ac:dyDescent="0.35">
      <c r="A253" s="5">
        <v>45909</v>
      </c>
      <c r="B253" s="3" t="s">
        <v>17</v>
      </c>
      <c r="C253" s="3">
        <v>27</v>
      </c>
      <c r="D253" s="3" t="s">
        <v>18</v>
      </c>
      <c r="E253" s="3" t="s">
        <v>19</v>
      </c>
      <c r="F253" s="84">
        <v>1200</v>
      </c>
      <c r="G253" s="84">
        <v>32400</v>
      </c>
      <c r="H253" s="84">
        <v>2500</v>
      </c>
      <c r="I253" s="84">
        <v>67500</v>
      </c>
      <c r="J253" s="84">
        <v>35100</v>
      </c>
    </row>
    <row r="254" spans="1:10" x14ac:dyDescent="0.35">
      <c r="A254" s="5">
        <v>45910</v>
      </c>
      <c r="B254" s="3" t="s">
        <v>20</v>
      </c>
      <c r="C254" s="3">
        <v>11</v>
      </c>
      <c r="D254" s="3" t="s">
        <v>21</v>
      </c>
      <c r="E254" s="3" t="s">
        <v>22</v>
      </c>
      <c r="F254" s="84">
        <v>800</v>
      </c>
      <c r="G254" s="84">
        <v>8800</v>
      </c>
      <c r="H254" s="84">
        <v>1500</v>
      </c>
      <c r="I254" s="84">
        <v>16500</v>
      </c>
      <c r="J254" s="84">
        <v>7700</v>
      </c>
    </row>
    <row r="255" spans="1:10" x14ac:dyDescent="0.35">
      <c r="A255" s="5">
        <v>45911</v>
      </c>
      <c r="B255" s="3" t="s">
        <v>23</v>
      </c>
      <c r="C255" s="3">
        <v>12</v>
      </c>
      <c r="D255" s="3" t="s">
        <v>24</v>
      </c>
      <c r="E255" s="3" t="s">
        <v>25</v>
      </c>
      <c r="F255" s="84">
        <v>1000</v>
      </c>
      <c r="G255" s="84">
        <v>12000</v>
      </c>
      <c r="H255" s="84">
        <v>2000</v>
      </c>
      <c r="I255" s="84">
        <v>24000</v>
      </c>
      <c r="J255" s="84">
        <v>12000</v>
      </c>
    </row>
    <row r="256" spans="1:10" x14ac:dyDescent="0.35">
      <c r="A256" s="5">
        <v>45912</v>
      </c>
      <c r="B256" s="3" t="s">
        <v>26</v>
      </c>
      <c r="C256" s="3">
        <v>47</v>
      </c>
      <c r="D256" s="3" t="s">
        <v>27</v>
      </c>
      <c r="E256" s="3" t="s">
        <v>28</v>
      </c>
      <c r="F256" s="84">
        <v>1000</v>
      </c>
      <c r="G256" s="84">
        <v>47000</v>
      </c>
      <c r="H256" s="84">
        <v>2200</v>
      </c>
      <c r="I256" s="84">
        <v>103400</v>
      </c>
      <c r="J256" s="84">
        <v>56400</v>
      </c>
    </row>
    <row r="257" spans="1:10" x14ac:dyDescent="0.35">
      <c r="A257" s="5">
        <v>45913</v>
      </c>
      <c r="B257" s="3" t="s">
        <v>29</v>
      </c>
      <c r="C257" s="3">
        <v>79</v>
      </c>
      <c r="D257" s="3" t="s">
        <v>30</v>
      </c>
      <c r="E257" s="3" t="s">
        <v>31</v>
      </c>
      <c r="F257" s="84">
        <v>600</v>
      </c>
      <c r="G257" s="84">
        <v>47400</v>
      </c>
      <c r="H257" s="84">
        <v>1200</v>
      </c>
      <c r="I257" s="84">
        <v>94800</v>
      </c>
      <c r="J257" s="84">
        <v>47400</v>
      </c>
    </row>
    <row r="258" spans="1:10" x14ac:dyDescent="0.35">
      <c r="A258" s="5">
        <v>45914</v>
      </c>
      <c r="B258" s="3" t="s">
        <v>32</v>
      </c>
      <c r="C258" s="3">
        <v>93</v>
      </c>
      <c r="D258" s="3" t="s">
        <v>33</v>
      </c>
      <c r="E258" s="3" t="s">
        <v>34</v>
      </c>
      <c r="F258" s="84">
        <v>200</v>
      </c>
      <c r="G258" s="84">
        <v>18600</v>
      </c>
      <c r="H258" s="84">
        <v>550</v>
      </c>
      <c r="I258" s="84">
        <v>51150</v>
      </c>
      <c r="J258" s="84">
        <v>32550</v>
      </c>
    </row>
    <row r="259" spans="1:10" x14ac:dyDescent="0.35">
      <c r="A259" s="5">
        <v>45915</v>
      </c>
      <c r="B259" s="3" t="s">
        <v>35</v>
      </c>
      <c r="C259" s="3">
        <v>59</v>
      </c>
      <c r="D259" s="3" t="s">
        <v>36</v>
      </c>
      <c r="E259" s="3" t="s">
        <v>37</v>
      </c>
      <c r="F259" s="84">
        <v>550</v>
      </c>
      <c r="G259" s="84">
        <v>32450</v>
      </c>
      <c r="H259" s="84">
        <v>1200</v>
      </c>
      <c r="I259" s="84">
        <v>70800</v>
      </c>
      <c r="J259" s="84">
        <v>38350</v>
      </c>
    </row>
    <row r="260" spans="1:10" x14ac:dyDescent="0.35">
      <c r="A260" s="5">
        <v>45916</v>
      </c>
      <c r="B260" s="3" t="s">
        <v>38</v>
      </c>
      <c r="C260" s="3">
        <v>73</v>
      </c>
      <c r="D260" s="3" t="s">
        <v>39</v>
      </c>
      <c r="E260" s="3" t="s">
        <v>40</v>
      </c>
      <c r="F260" s="84">
        <v>1000</v>
      </c>
      <c r="G260" s="84">
        <v>73000</v>
      </c>
      <c r="H260" s="84">
        <v>2200</v>
      </c>
      <c r="I260" s="84">
        <v>160600</v>
      </c>
      <c r="J260" s="84">
        <v>87600</v>
      </c>
    </row>
    <row r="261" spans="1:10" x14ac:dyDescent="0.35">
      <c r="A261" s="5">
        <v>45917</v>
      </c>
      <c r="B261" s="3" t="s">
        <v>41</v>
      </c>
      <c r="C261" s="3">
        <v>9</v>
      </c>
      <c r="D261" s="3" t="s">
        <v>42</v>
      </c>
      <c r="E261" s="3" t="s">
        <v>43</v>
      </c>
      <c r="F261" s="84">
        <v>550</v>
      </c>
      <c r="G261" s="84">
        <v>4950</v>
      </c>
      <c r="H261" s="84">
        <v>650</v>
      </c>
      <c r="I261" s="84">
        <v>5850</v>
      </c>
      <c r="J261" s="84">
        <v>900</v>
      </c>
    </row>
    <row r="262" spans="1:10" x14ac:dyDescent="0.35">
      <c r="A262" s="5">
        <v>45918</v>
      </c>
      <c r="B262" s="3" t="s">
        <v>15</v>
      </c>
      <c r="C262" s="3">
        <v>38</v>
      </c>
      <c r="D262" s="3" t="s">
        <v>16</v>
      </c>
      <c r="E262" s="3" t="s">
        <v>1</v>
      </c>
      <c r="F262" s="84">
        <v>2500</v>
      </c>
      <c r="G262" s="84">
        <v>95000</v>
      </c>
      <c r="H262" s="84">
        <v>5500</v>
      </c>
      <c r="I262" s="84">
        <v>209000</v>
      </c>
      <c r="J262" s="84">
        <v>114000</v>
      </c>
    </row>
    <row r="263" spans="1:10" x14ac:dyDescent="0.35">
      <c r="A263" s="5">
        <v>45919</v>
      </c>
      <c r="B263" s="3" t="s">
        <v>17</v>
      </c>
      <c r="C263" s="3">
        <v>24</v>
      </c>
      <c r="D263" s="3" t="s">
        <v>18</v>
      </c>
      <c r="E263" s="3" t="s">
        <v>19</v>
      </c>
      <c r="F263" s="84">
        <v>1200</v>
      </c>
      <c r="G263" s="84">
        <v>28800</v>
      </c>
      <c r="H263" s="84">
        <v>2500</v>
      </c>
      <c r="I263" s="84">
        <v>60000</v>
      </c>
      <c r="J263" s="84">
        <v>31200</v>
      </c>
    </row>
    <row r="264" spans="1:10" x14ac:dyDescent="0.35">
      <c r="A264" s="5">
        <v>45920</v>
      </c>
      <c r="B264" s="3" t="s">
        <v>20</v>
      </c>
      <c r="C264" s="3">
        <v>90</v>
      </c>
      <c r="D264" s="3" t="s">
        <v>21</v>
      </c>
      <c r="E264" s="3" t="s">
        <v>22</v>
      </c>
      <c r="F264" s="84">
        <v>800</v>
      </c>
      <c r="G264" s="84">
        <v>72000</v>
      </c>
      <c r="H264" s="84">
        <v>1500</v>
      </c>
      <c r="I264" s="84">
        <v>135000</v>
      </c>
      <c r="J264" s="84">
        <v>63000</v>
      </c>
    </row>
    <row r="265" spans="1:10" x14ac:dyDescent="0.35">
      <c r="A265" s="5">
        <v>45921</v>
      </c>
      <c r="B265" s="3" t="s">
        <v>23</v>
      </c>
      <c r="C265" s="3">
        <v>12</v>
      </c>
      <c r="D265" s="3" t="s">
        <v>24</v>
      </c>
      <c r="E265" s="3" t="s">
        <v>25</v>
      </c>
      <c r="F265" s="84">
        <v>1000</v>
      </c>
      <c r="G265" s="84">
        <v>12000</v>
      </c>
      <c r="H265" s="84">
        <v>2000</v>
      </c>
      <c r="I265" s="84">
        <v>24000</v>
      </c>
      <c r="J265" s="84">
        <v>12000</v>
      </c>
    </row>
    <row r="266" spans="1:10" x14ac:dyDescent="0.35">
      <c r="A266" s="5">
        <v>45922</v>
      </c>
      <c r="B266" s="3" t="s">
        <v>26</v>
      </c>
      <c r="C266" s="3">
        <v>41</v>
      </c>
      <c r="D266" s="3" t="s">
        <v>27</v>
      </c>
      <c r="E266" s="3" t="s">
        <v>28</v>
      </c>
      <c r="F266" s="84">
        <v>1000</v>
      </c>
      <c r="G266" s="84">
        <v>41000</v>
      </c>
      <c r="H266" s="84">
        <v>2200</v>
      </c>
      <c r="I266" s="84">
        <v>90200</v>
      </c>
      <c r="J266" s="84">
        <v>49200</v>
      </c>
    </row>
    <row r="267" spans="1:10" x14ac:dyDescent="0.35">
      <c r="A267" s="5">
        <v>45923</v>
      </c>
      <c r="B267" s="3" t="s">
        <v>29</v>
      </c>
      <c r="C267" s="3">
        <v>51</v>
      </c>
      <c r="D267" s="3" t="s">
        <v>30</v>
      </c>
      <c r="E267" s="3" t="s">
        <v>31</v>
      </c>
      <c r="F267" s="84">
        <v>600</v>
      </c>
      <c r="G267" s="84">
        <v>30600</v>
      </c>
      <c r="H267" s="84">
        <v>1200</v>
      </c>
      <c r="I267" s="84">
        <v>61200</v>
      </c>
      <c r="J267" s="84">
        <v>30600</v>
      </c>
    </row>
    <row r="268" spans="1:10" x14ac:dyDescent="0.35">
      <c r="A268" s="5">
        <v>45924</v>
      </c>
      <c r="B268" s="3" t="s">
        <v>32</v>
      </c>
      <c r="C268" s="3">
        <v>63</v>
      </c>
      <c r="D268" s="3" t="s">
        <v>33</v>
      </c>
      <c r="E268" s="3" t="s">
        <v>34</v>
      </c>
      <c r="F268" s="84">
        <v>200</v>
      </c>
      <c r="G268" s="84">
        <v>12600</v>
      </c>
      <c r="H268" s="84">
        <v>550</v>
      </c>
      <c r="I268" s="84">
        <v>34650</v>
      </c>
      <c r="J268" s="84">
        <v>22050</v>
      </c>
    </row>
    <row r="269" spans="1:10" x14ac:dyDescent="0.35">
      <c r="A269" s="5">
        <v>45925</v>
      </c>
      <c r="B269" s="3" t="s">
        <v>35</v>
      </c>
      <c r="C269" s="3">
        <v>88</v>
      </c>
      <c r="D269" s="3" t="s">
        <v>36</v>
      </c>
      <c r="E269" s="3" t="s">
        <v>37</v>
      </c>
      <c r="F269" s="84">
        <v>550</v>
      </c>
      <c r="G269" s="84">
        <v>48400</v>
      </c>
      <c r="H269" s="84">
        <v>1200</v>
      </c>
      <c r="I269" s="84">
        <v>105600</v>
      </c>
      <c r="J269" s="84">
        <v>57200</v>
      </c>
    </row>
    <row r="270" spans="1:10" x14ac:dyDescent="0.35">
      <c r="A270" s="5">
        <v>45926</v>
      </c>
      <c r="B270" s="3" t="s">
        <v>38</v>
      </c>
      <c r="C270" s="3">
        <v>30</v>
      </c>
      <c r="D270" s="3" t="s">
        <v>39</v>
      </c>
      <c r="E270" s="3" t="s">
        <v>40</v>
      </c>
      <c r="F270" s="84">
        <v>1000</v>
      </c>
      <c r="G270" s="84">
        <v>30000</v>
      </c>
      <c r="H270" s="84">
        <v>2200</v>
      </c>
      <c r="I270" s="84">
        <v>66000</v>
      </c>
      <c r="J270" s="84">
        <v>36000</v>
      </c>
    </row>
    <row r="271" spans="1:10" x14ac:dyDescent="0.35">
      <c r="A271" s="5">
        <v>45927</v>
      </c>
      <c r="B271" s="3" t="s">
        <v>41</v>
      </c>
      <c r="C271" s="3">
        <v>81</v>
      </c>
      <c r="D271" s="3" t="s">
        <v>42</v>
      </c>
      <c r="E271" s="3" t="s">
        <v>43</v>
      </c>
      <c r="F271" s="84">
        <v>550</v>
      </c>
      <c r="G271" s="84">
        <v>44550</v>
      </c>
      <c r="H271" s="84">
        <v>650</v>
      </c>
      <c r="I271" s="84">
        <v>52650</v>
      </c>
      <c r="J271" s="84">
        <v>8100</v>
      </c>
    </row>
    <row r="272" spans="1:10" x14ac:dyDescent="0.35">
      <c r="A272" s="5">
        <v>45928</v>
      </c>
      <c r="B272" s="3" t="s">
        <v>15</v>
      </c>
      <c r="C272" s="3">
        <v>45</v>
      </c>
      <c r="D272" s="3" t="s">
        <v>16</v>
      </c>
      <c r="E272" s="3" t="s">
        <v>1</v>
      </c>
      <c r="F272" s="84">
        <v>2500</v>
      </c>
      <c r="G272" s="84">
        <v>112500</v>
      </c>
      <c r="H272" s="84">
        <v>5500</v>
      </c>
      <c r="I272" s="84">
        <v>247500</v>
      </c>
      <c r="J272" s="84">
        <v>135000</v>
      </c>
    </row>
    <row r="273" spans="1:10" x14ac:dyDescent="0.35">
      <c r="A273" s="5">
        <v>45929</v>
      </c>
      <c r="B273" s="3" t="s">
        <v>17</v>
      </c>
      <c r="C273" s="3">
        <v>20</v>
      </c>
      <c r="D273" s="3" t="s">
        <v>18</v>
      </c>
      <c r="E273" s="3" t="s">
        <v>19</v>
      </c>
      <c r="F273" s="84">
        <v>1200</v>
      </c>
      <c r="G273" s="84">
        <v>24000</v>
      </c>
      <c r="H273" s="84">
        <v>2500</v>
      </c>
      <c r="I273" s="84">
        <v>50000</v>
      </c>
      <c r="J273" s="84">
        <v>26000</v>
      </c>
    </row>
    <row r="274" spans="1:10" x14ac:dyDescent="0.35">
      <c r="A274" s="5">
        <v>45930</v>
      </c>
      <c r="B274" s="3" t="s">
        <v>20</v>
      </c>
      <c r="C274" s="3">
        <v>97</v>
      </c>
      <c r="D274" s="3" t="s">
        <v>21</v>
      </c>
      <c r="E274" s="3" t="s">
        <v>22</v>
      </c>
      <c r="F274" s="84">
        <v>800</v>
      </c>
      <c r="G274" s="84">
        <v>77600</v>
      </c>
      <c r="H274" s="84">
        <v>1500</v>
      </c>
      <c r="I274" s="84">
        <v>145500</v>
      </c>
      <c r="J274" s="84">
        <v>67900</v>
      </c>
    </row>
    <row r="275" spans="1:10" x14ac:dyDescent="0.35">
      <c r="A275" s="5">
        <v>45931</v>
      </c>
      <c r="B275" s="3" t="s">
        <v>23</v>
      </c>
      <c r="C275" s="3">
        <v>96</v>
      </c>
      <c r="D275" s="3" t="s">
        <v>24</v>
      </c>
      <c r="E275" s="3" t="s">
        <v>25</v>
      </c>
      <c r="F275" s="84">
        <v>1000</v>
      </c>
      <c r="G275" s="84">
        <v>96000</v>
      </c>
      <c r="H275" s="84">
        <v>2000</v>
      </c>
      <c r="I275" s="84">
        <v>192000</v>
      </c>
      <c r="J275" s="84">
        <v>96000</v>
      </c>
    </row>
    <row r="276" spans="1:10" x14ac:dyDescent="0.35">
      <c r="A276" s="5">
        <v>45932</v>
      </c>
      <c r="B276" s="3" t="s">
        <v>26</v>
      </c>
      <c r="C276" s="3">
        <v>81</v>
      </c>
      <c r="D276" s="3" t="s">
        <v>27</v>
      </c>
      <c r="E276" s="3" t="s">
        <v>28</v>
      </c>
      <c r="F276" s="84">
        <v>1000</v>
      </c>
      <c r="G276" s="84">
        <v>81000</v>
      </c>
      <c r="H276" s="84">
        <v>2200</v>
      </c>
      <c r="I276" s="84">
        <v>178200</v>
      </c>
      <c r="J276" s="84">
        <v>97200</v>
      </c>
    </row>
    <row r="277" spans="1:10" x14ac:dyDescent="0.35">
      <c r="A277" s="5">
        <v>45933</v>
      </c>
      <c r="B277" s="3" t="s">
        <v>29</v>
      </c>
      <c r="C277" s="3">
        <v>11</v>
      </c>
      <c r="D277" s="3" t="s">
        <v>30</v>
      </c>
      <c r="E277" s="3" t="s">
        <v>31</v>
      </c>
      <c r="F277" s="84">
        <v>600</v>
      </c>
      <c r="G277" s="84">
        <v>6600</v>
      </c>
      <c r="H277" s="84">
        <v>1200</v>
      </c>
      <c r="I277" s="84">
        <v>13200</v>
      </c>
      <c r="J277" s="84">
        <v>6600</v>
      </c>
    </row>
    <row r="278" spans="1:10" x14ac:dyDescent="0.35">
      <c r="A278" s="5">
        <v>45934</v>
      </c>
      <c r="B278" s="3" t="s">
        <v>32</v>
      </c>
      <c r="C278" s="3">
        <v>71</v>
      </c>
      <c r="D278" s="3" t="s">
        <v>33</v>
      </c>
      <c r="E278" s="3" t="s">
        <v>34</v>
      </c>
      <c r="F278" s="84">
        <v>200</v>
      </c>
      <c r="G278" s="84">
        <v>14200</v>
      </c>
      <c r="H278" s="84">
        <v>550</v>
      </c>
      <c r="I278" s="84">
        <v>39050</v>
      </c>
      <c r="J278" s="84">
        <v>24850</v>
      </c>
    </row>
    <row r="279" spans="1:10" x14ac:dyDescent="0.35">
      <c r="A279" s="5">
        <v>45935</v>
      </c>
      <c r="B279" s="3" t="s">
        <v>35</v>
      </c>
      <c r="C279" s="3">
        <v>60</v>
      </c>
      <c r="D279" s="3" t="s">
        <v>36</v>
      </c>
      <c r="E279" s="3" t="s">
        <v>37</v>
      </c>
      <c r="F279" s="84">
        <v>550</v>
      </c>
      <c r="G279" s="84">
        <v>33000</v>
      </c>
      <c r="H279" s="84">
        <v>1200</v>
      </c>
      <c r="I279" s="84">
        <v>72000</v>
      </c>
      <c r="J279" s="84">
        <v>39000</v>
      </c>
    </row>
    <row r="280" spans="1:10" x14ac:dyDescent="0.35">
      <c r="A280" s="5">
        <v>45936</v>
      </c>
      <c r="B280" s="3" t="s">
        <v>38</v>
      </c>
      <c r="C280" s="3">
        <v>53</v>
      </c>
      <c r="D280" s="3" t="s">
        <v>39</v>
      </c>
      <c r="E280" s="3" t="s">
        <v>40</v>
      </c>
      <c r="F280" s="84">
        <v>1000</v>
      </c>
      <c r="G280" s="84">
        <v>53000</v>
      </c>
      <c r="H280" s="84">
        <v>2200</v>
      </c>
      <c r="I280" s="84">
        <v>116600</v>
      </c>
      <c r="J280" s="84">
        <v>63600</v>
      </c>
    </row>
    <row r="281" spans="1:10" x14ac:dyDescent="0.35">
      <c r="A281" s="5">
        <v>45937</v>
      </c>
      <c r="B281" s="3" t="s">
        <v>41</v>
      </c>
      <c r="C281" s="3">
        <v>68</v>
      </c>
      <c r="D281" s="3" t="s">
        <v>42</v>
      </c>
      <c r="E281" s="3" t="s">
        <v>43</v>
      </c>
      <c r="F281" s="84">
        <v>550</v>
      </c>
      <c r="G281" s="84">
        <v>37400</v>
      </c>
      <c r="H281" s="84">
        <v>650</v>
      </c>
      <c r="I281" s="84">
        <v>44200</v>
      </c>
      <c r="J281" s="84">
        <v>6800</v>
      </c>
    </row>
    <row r="282" spans="1:10" x14ac:dyDescent="0.35">
      <c r="A282" s="5">
        <v>45938</v>
      </c>
      <c r="B282" s="3" t="s">
        <v>15</v>
      </c>
      <c r="C282" s="3">
        <v>100</v>
      </c>
      <c r="D282" s="3" t="s">
        <v>16</v>
      </c>
      <c r="E282" s="3" t="s">
        <v>1</v>
      </c>
      <c r="F282" s="84">
        <v>2500</v>
      </c>
      <c r="G282" s="84">
        <v>250000</v>
      </c>
      <c r="H282" s="84">
        <v>5500</v>
      </c>
      <c r="I282" s="84">
        <v>550000</v>
      </c>
      <c r="J282" s="84">
        <v>300000</v>
      </c>
    </row>
    <row r="283" spans="1:10" x14ac:dyDescent="0.35">
      <c r="A283" s="5">
        <v>45939</v>
      </c>
      <c r="B283" s="3" t="s">
        <v>17</v>
      </c>
      <c r="C283" s="3">
        <v>40</v>
      </c>
      <c r="D283" s="3" t="s">
        <v>18</v>
      </c>
      <c r="E283" s="3" t="s">
        <v>19</v>
      </c>
      <c r="F283" s="84">
        <v>1200</v>
      </c>
      <c r="G283" s="84">
        <v>48000</v>
      </c>
      <c r="H283" s="84">
        <v>2500</v>
      </c>
      <c r="I283" s="84">
        <v>100000</v>
      </c>
      <c r="J283" s="84">
        <v>52000</v>
      </c>
    </row>
    <row r="284" spans="1:10" x14ac:dyDescent="0.35">
      <c r="A284" s="5">
        <v>45940</v>
      </c>
      <c r="B284" s="3" t="s">
        <v>20</v>
      </c>
      <c r="C284" s="3">
        <v>92</v>
      </c>
      <c r="D284" s="3" t="s">
        <v>21</v>
      </c>
      <c r="E284" s="3" t="s">
        <v>22</v>
      </c>
      <c r="F284" s="84">
        <v>800</v>
      </c>
      <c r="G284" s="84">
        <v>73600</v>
      </c>
      <c r="H284" s="84">
        <v>1500</v>
      </c>
      <c r="I284" s="84">
        <v>138000</v>
      </c>
      <c r="J284" s="84">
        <v>64400</v>
      </c>
    </row>
    <row r="285" spans="1:10" x14ac:dyDescent="0.35">
      <c r="A285" s="5">
        <v>45941</v>
      </c>
      <c r="B285" s="3" t="s">
        <v>23</v>
      </c>
      <c r="C285" s="3">
        <v>55</v>
      </c>
      <c r="D285" s="3" t="s">
        <v>24</v>
      </c>
      <c r="E285" s="3" t="s">
        <v>25</v>
      </c>
      <c r="F285" s="84">
        <v>1000</v>
      </c>
      <c r="G285" s="84">
        <v>55000</v>
      </c>
      <c r="H285" s="84">
        <v>2000</v>
      </c>
      <c r="I285" s="84">
        <v>110000</v>
      </c>
      <c r="J285" s="84">
        <v>55000</v>
      </c>
    </row>
    <row r="286" spans="1:10" x14ac:dyDescent="0.35">
      <c r="A286" s="5">
        <v>45942</v>
      </c>
      <c r="B286" s="3" t="s">
        <v>26</v>
      </c>
      <c r="C286" s="3">
        <v>84</v>
      </c>
      <c r="D286" s="3" t="s">
        <v>27</v>
      </c>
      <c r="E286" s="3" t="s">
        <v>28</v>
      </c>
      <c r="F286" s="84">
        <v>1000</v>
      </c>
      <c r="G286" s="84">
        <v>84000</v>
      </c>
      <c r="H286" s="84">
        <v>2200</v>
      </c>
      <c r="I286" s="84">
        <v>184800</v>
      </c>
      <c r="J286" s="84">
        <v>100800</v>
      </c>
    </row>
    <row r="287" spans="1:10" x14ac:dyDescent="0.35">
      <c r="A287" s="5">
        <v>45943</v>
      </c>
      <c r="B287" s="3" t="s">
        <v>29</v>
      </c>
      <c r="C287" s="3">
        <v>59</v>
      </c>
      <c r="D287" s="3" t="s">
        <v>30</v>
      </c>
      <c r="E287" s="3" t="s">
        <v>31</v>
      </c>
      <c r="F287" s="84">
        <v>600</v>
      </c>
      <c r="G287" s="84">
        <v>35400</v>
      </c>
      <c r="H287" s="84">
        <v>1200</v>
      </c>
      <c r="I287" s="84">
        <v>70800</v>
      </c>
      <c r="J287" s="84">
        <v>35400</v>
      </c>
    </row>
    <row r="288" spans="1:10" x14ac:dyDescent="0.35">
      <c r="A288" s="5">
        <v>45944</v>
      </c>
      <c r="B288" s="3" t="s">
        <v>32</v>
      </c>
      <c r="C288" s="3">
        <v>11</v>
      </c>
      <c r="D288" s="3" t="s">
        <v>33</v>
      </c>
      <c r="E288" s="3" t="s">
        <v>34</v>
      </c>
      <c r="F288" s="84">
        <v>200</v>
      </c>
      <c r="G288" s="84">
        <v>2200</v>
      </c>
      <c r="H288" s="84">
        <v>550</v>
      </c>
      <c r="I288" s="84">
        <v>6050</v>
      </c>
      <c r="J288" s="84">
        <v>3850</v>
      </c>
    </row>
    <row r="289" spans="1:10" x14ac:dyDescent="0.35">
      <c r="A289" s="5">
        <v>45945</v>
      </c>
      <c r="B289" s="3" t="s">
        <v>35</v>
      </c>
      <c r="C289" s="3">
        <v>84</v>
      </c>
      <c r="D289" s="3" t="s">
        <v>36</v>
      </c>
      <c r="E289" s="3" t="s">
        <v>37</v>
      </c>
      <c r="F289" s="84">
        <v>550</v>
      </c>
      <c r="G289" s="84">
        <v>46200</v>
      </c>
      <c r="H289" s="84">
        <v>1200</v>
      </c>
      <c r="I289" s="84">
        <v>100800</v>
      </c>
      <c r="J289" s="84">
        <v>54600</v>
      </c>
    </row>
    <row r="290" spans="1:10" x14ac:dyDescent="0.35">
      <c r="A290" s="5">
        <v>45946</v>
      </c>
      <c r="B290" s="3" t="s">
        <v>38</v>
      </c>
      <c r="C290" s="3">
        <v>53</v>
      </c>
      <c r="D290" s="3" t="s">
        <v>39</v>
      </c>
      <c r="E290" s="3" t="s">
        <v>40</v>
      </c>
      <c r="F290" s="84">
        <v>1000</v>
      </c>
      <c r="G290" s="84">
        <v>53000</v>
      </c>
      <c r="H290" s="84">
        <v>2200</v>
      </c>
      <c r="I290" s="84">
        <v>116600</v>
      </c>
      <c r="J290" s="84">
        <v>63600</v>
      </c>
    </row>
    <row r="291" spans="1:10" x14ac:dyDescent="0.35">
      <c r="A291" s="5">
        <v>45947</v>
      </c>
      <c r="B291" s="3" t="s">
        <v>41</v>
      </c>
      <c r="C291" s="3">
        <v>14</v>
      </c>
      <c r="D291" s="3" t="s">
        <v>42</v>
      </c>
      <c r="E291" s="3" t="s">
        <v>43</v>
      </c>
      <c r="F291" s="84">
        <v>550</v>
      </c>
      <c r="G291" s="84">
        <v>7700</v>
      </c>
      <c r="H291" s="84">
        <v>650</v>
      </c>
      <c r="I291" s="84">
        <v>9100</v>
      </c>
      <c r="J291" s="84">
        <v>1400</v>
      </c>
    </row>
    <row r="292" spans="1:10" x14ac:dyDescent="0.35">
      <c r="A292" s="5">
        <v>45948</v>
      </c>
      <c r="B292" s="3" t="s">
        <v>15</v>
      </c>
      <c r="C292" s="3">
        <v>92</v>
      </c>
      <c r="D292" s="3" t="s">
        <v>16</v>
      </c>
      <c r="E292" s="3" t="s">
        <v>1</v>
      </c>
      <c r="F292" s="84">
        <v>2500</v>
      </c>
      <c r="G292" s="84">
        <v>230000</v>
      </c>
      <c r="H292" s="84">
        <v>5500</v>
      </c>
      <c r="I292" s="84">
        <v>506000</v>
      </c>
      <c r="J292" s="84">
        <v>276000</v>
      </c>
    </row>
    <row r="293" spans="1:10" x14ac:dyDescent="0.35">
      <c r="A293" s="5">
        <v>45949</v>
      </c>
      <c r="B293" s="3" t="s">
        <v>17</v>
      </c>
      <c r="C293" s="3">
        <v>45</v>
      </c>
      <c r="D293" s="3" t="s">
        <v>18</v>
      </c>
      <c r="E293" s="3" t="s">
        <v>19</v>
      </c>
      <c r="F293" s="84">
        <v>1200</v>
      </c>
      <c r="G293" s="84">
        <v>54000</v>
      </c>
      <c r="H293" s="84">
        <v>2500</v>
      </c>
      <c r="I293" s="84">
        <v>112500</v>
      </c>
      <c r="J293" s="84">
        <v>58500</v>
      </c>
    </row>
    <row r="294" spans="1:10" x14ac:dyDescent="0.35">
      <c r="A294" s="5">
        <v>45950</v>
      </c>
      <c r="B294" s="3" t="s">
        <v>20</v>
      </c>
      <c r="C294" s="3">
        <v>19</v>
      </c>
      <c r="D294" s="3" t="s">
        <v>21</v>
      </c>
      <c r="E294" s="3" t="s">
        <v>22</v>
      </c>
      <c r="F294" s="84">
        <v>800</v>
      </c>
      <c r="G294" s="84">
        <v>15200</v>
      </c>
      <c r="H294" s="84">
        <v>1500</v>
      </c>
      <c r="I294" s="84">
        <v>28500</v>
      </c>
      <c r="J294" s="84">
        <v>13300</v>
      </c>
    </row>
    <row r="295" spans="1:10" x14ac:dyDescent="0.35">
      <c r="A295" s="5">
        <v>45951</v>
      </c>
      <c r="B295" s="3" t="s">
        <v>23</v>
      </c>
      <c r="C295" s="3">
        <v>97</v>
      </c>
      <c r="D295" s="3" t="s">
        <v>24</v>
      </c>
      <c r="E295" s="3" t="s">
        <v>25</v>
      </c>
      <c r="F295" s="84">
        <v>1000</v>
      </c>
      <c r="G295" s="84">
        <v>97000</v>
      </c>
      <c r="H295" s="84">
        <v>2000</v>
      </c>
      <c r="I295" s="84">
        <v>194000</v>
      </c>
      <c r="J295" s="84">
        <v>97000</v>
      </c>
    </row>
    <row r="296" spans="1:10" x14ac:dyDescent="0.35">
      <c r="A296" s="5">
        <v>45952</v>
      </c>
      <c r="B296" s="3" t="s">
        <v>26</v>
      </c>
      <c r="C296" s="3">
        <v>60</v>
      </c>
      <c r="D296" s="3" t="s">
        <v>27</v>
      </c>
      <c r="E296" s="3" t="s">
        <v>28</v>
      </c>
      <c r="F296" s="84">
        <v>1000</v>
      </c>
      <c r="G296" s="84">
        <v>60000</v>
      </c>
      <c r="H296" s="84">
        <v>2200</v>
      </c>
      <c r="I296" s="84">
        <v>132000</v>
      </c>
      <c r="J296" s="84">
        <v>72000</v>
      </c>
    </row>
    <row r="297" spans="1:10" x14ac:dyDescent="0.35">
      <c r="A297" s="5">
        <v>45953</v>
      </c>
      <c r="B297" s="3" t="s">
        <v>29</v>
      </c>
      <c r="C297" s="3">
        <v>82</v>
      </c>
      <c r="D297" s="3" t="s">
        <v>30</v>
      </c>
      <c r="E297" s="3" t="s">
        <v>31</v>
      </c>
      <c r="F297" s="84">
        <v>600</v>
      </c>
      <c r="G297" s="84">
        <v>49200</v>
      </c>
      <c r="H297" s="84">
        <v>1200</v>
      </c>
      <c r="I297" s="84">
        <v>98400</v>
      </c>
      <c r="J297" s="84">
        <v>49200</v>
      </c>
    </row>
    <row r="298" spans="1:10" x14ac:dyDescent="0.35">
      <c r="A298" s="5">
        <v>45954</v>
      </c>
      <c r="B298" s="3" t="s">
        <v>32</v>
      </c>
      <c r="C298" s="3">
        <v>97</v>
      </c>
      <c r="D298" s="3" t="s">
        <v>33</v>
      </c>
      <c r="E298" s="3" t="s">
        <v>34</v>
      </c>
      <c r="F298" s="84">
        <v>200</v>
      </c>
      <c r="G298" s="84">
        <v>19400</v>
      </c>
      <c r="H298" s="84">
        <v>550</v>
      </c>
      <c r="I298" s="84">
        <v>53350</v>
      </c>
      <c r="J298" s="84">
        <v>33950</v>
      </c>
    </row>
    <row r="299" spans="1:10" x14ac:dyDescent="0.35">
      <c r="A299" s="5">
        <v>45955</v>
      </c>
      <c r="B299" s="3" t="s">
        <v>35</v>
      </c>
      <c r="C299" s="3">
        <v>63</v>
      </c>
      <c r="D299" s="3" t="s">
        <v>36</v>
      </c>
      <c r="E299" s="3" t="s">
        <v>37</v>
      </c>
      <c r="F299" s="84">
        <v>550</v>
      </c>
      <c r="G299" s="84">
        <v>34650</v>
      </c>
      <c r="H299" s="84">
        <v>1200</v>
      </c>
      <c r="I299" s="84">
        <v>75600</v>
      </c>
      <c r="J299" s="84">
        <v>40950</v>
      </c>
    </row>
    <row r="300" spans="1:10" x14ac:dyDescent="0.35">
      <c r="A300" s="5">
        <v>45956</v>
      </c>
      <c r="B300" s="3" t="s">
        <v>38</v>
      </c>
      <c r="C300" s="3">
        <v>85</v>
      </c>
      <c r="D300" s="3" t="s">
        <v>39</v>
      </c>
      <c r="E300" s="3" t="s">
        <v>40</v>
      </c>
      <c r="F300" s="84">
        <v>1000</v>
      </c>
      <c r="G300" s="84">
        <v>85000</v>
      </c>
      <c r="H300" s="84">
        <v>2200</v>
      </c>
      <c r="I300" s="84">
        <v>187000</v>
      </c>
      <c r="J300" s="84">
        <v>102000</v>
      </c>
    </row>
    <row r="301" spans="1:10" x14ac:dyDescent="0.35">
      <c r="A301" s="5">
        <v>45957</v>
      </c>
      <c r="B301" s="3" t="s">
        <v>41</v>
      </c>
      <c r="C301" s="3">
        <v>20</v>
      </c>
      <c r="D301" s="3" t="s">
        <v>42</v>
      </c>
      <c r="E301" s="3" t="s">
        <v>43</v>
      </c>
      <c r="F301" s="84">
        <v>550</v>
      </c>
      <c r="G301" s="84">
        <v>11000</v>
      </c>
      <c r="H301" s="84">
        <v>650</v>
      </c>
      <c r="I301" s="84">
        <v>13000</v>
      </c>
      <c r="J301" s="84">
        <v>2000</v>
      </c>
    </row>
    <row r="302" spans="1:10" x14ac:dyDescent="0.35">
      <c r="A302" s="5">
        <v>45958</v>
      </c>
      <c r="B302" s="3" t="s">
        <v>15</v>
      </c>
      <c r="C302" s="3">
        <v>45</v>
      </c>
      <c r="D302" s="3" t="s">
        <v>16</v>
      </c>
      <c r="E302" s="3" t="s">
        <v>1</v>
      </c>
      <c r="F302" s="84">
        <v>2500</v>
      </c>
      <c r="G302" s="84">
        <v>112500</v>
      </c>
      <c r="H302" s="84">
        <v>5500</v>
      </c>
      <c r="I302" s="84">
        <v>247500</v>
      </c>
      <c r="J302" s="84">
        <v>135000</v>
      </c>
    </row>
    <row r="303" spans="1:10" x14ac:dyDescent="0.35">
      <c r="A303" s="5">
        <v>45959</v>
      </c>
      <c r="B303" s="3" t="s">
        <v>17</v>
      </c>
      <c r="C303" s="3">
        <v>67</v>
      </c>
      <c r="D303" s="3" t="s">
        <v>18</v>
      </c>
      <c r="E303" s="3" t="s">
        <v>19</v>
      </c>
      <c r="F303" s="84">
        <v>1200</v>
      </c>
      <c r="G303" s="84">
        <v>80400</v>
      </c>
      <c r="H303" s="84">
        <v>2500</v>
      </c>
      <c r="I303" s="84">
        <v>167500</v>
      </c>
      <c r="J303" s="84">
        <v>87100</v>
      </c>
    </row>
    <row r="304" spans="1:10" x14ac:dyDescent="0.35">
      <c r="A304" s="5">
        <v>45960</v>
      </c>
      <c r="B304" s="3" t="s">
        <v>20</v>
      </c>
      <c r="C304" s="3">
        <v>84</v>
      </c>
      <c r="D304" s="3" t="s">
        <v>21</v>
      </c>
      <c r="E304" s="3" t="s">
        <v>22</v>
      </c>
      <c r="F304" s="84">
        <v>800</v>
      </c>
      <c r="G304" s="84">
        <v>67200</v>
      </c>
      <c r="H304" s="84">
        <v>1500</v>
      </c>
      <c r="I304" s="84">
        <v>126000</v>
      </c>
      <c r="J304" s="84">
        <v>58800</v>
      </c>
    </row>
    <row r="305" spans="1:10" x14ac:dyDescent="0.35">
      <c r="A305" s="5">
        <v>45961</v>
      </c>
      <c r="B305" s="3" t="s">
        <v>23</v>
      </c>
      <c r="C305" s="3">
        <v>71</v>
      </c>
      <c r="D305" s="3" t="s">
        <v>24</v>
      </c>
      <c r="E305" s="3" t="s">
        <v>25</v>
      </c>
      <c r="F305" s="84">
        <v>1000</v>
      </c>
      <c r="G305" s="84">
        <v>71000</v>
      </c>
      <c r="H305" s="84">
        <v>2000</v>
      </c>
      <c r="I305" s="84">
        <v>142000</v>
      </c>
      <c r="J305" s="84">
        <v>71000</v>
      </c>
    </row>
    <row r="306" spans="1:10" x14ac:dyDescent="0.35">
      <c r="A306" s="5">
        <v>45962</v>
      </c>
      <c r="B306" s="3" t="s">
        <v>26</v>
      </c>
      <c r="C306" s="3">
        <v>17</v>
      </c>
      <c r="D306" s="3" t="s">
        <v>27</v>
      </c>
      <c r="E306" s="3" t="s">
        <v>28</v>
      </c>
      <c r="F306" s="84">
        <v>1000</v>
      </c>
      <c r="G306" s="84">
        <v>17000</v>
      </c>
      <c r="H306" s="84">
        <v>2200</v>
      </c>
      <c r="I306" s="84">
        <v>37400</v>
      </c>
      <c r="J306" s="84">
        <v>20400</v>
      </c>
    </row>
    <row r="307" spans="1:10" x14ac:dyDescent="0.35">
      <c r="A307" s="5">
        <v>45963</v>
      </c>
      <c r="B307" s="3" t="s">
        <v>29</v>
      </c>
      <c r="C307" s="3">
        <v>92</v>
      </c>
      <c r="D307" s="3" t="s">
        <v>30</v>
      </c>
      <c r="E307" s="3" t="s">
        <v>31</v>
      </c>
      <c r="F307" s="84">
        <v>600</v>
      </c>
      <c r="G307" s="84">
        <v>55200</v>
      </c>
      <c r="H307" s="84">
        <v>1200</v>
      </c>
      <c r="I307" s="84">
        <v>110400</v>
      </c>
      <c r="J307" s="84">
        <v>55200</v>
      </c>
    </row>
    <row r="308" spans="1:10" x14ac:dyDescent="0.35">
      <c r="A308" s="5">
        <v>45964</v>
      </c>
      <c r="B308" s="3" t="s">
        <v>32</v>
      </c>
      <c r="C308" s="3">
        <v>96</v>
      </c>
      <c r="D308" s="3" t="s">
        <v>33</v>
      </c>
      <c r="E308" s="3" t="s">
        <v>34</v>
      </c>
      <c r="F308" s="84">
        <v>200</v>
      </c>
      <c r="G308" s="84">
        <v>19200</v>
      </c>
      <c r="H308" s="84">
        <v>550</v>
      </c>
      <c r="I308" s="84">
        <v>52800</v>
      </c>
      <c r="J308" s="84">
        <v>33600</v>
      </c>
    </row>
    <row r="309" spans="1:10" x14ac:dyDescent="0.35">
      <c r="A309" s="5">
        <v>45965</v>
      </c>
      <c r="B309" s="3" t="s">
        <v>35</v>
      </c>
      <c r="C309" s="3">
        <v>39</v>
      </c>
      <c r="D309" s="3" t="s">
        <v>36</v>
      </c>
      <c r="E309" s="3" t="s">
        <v>37</v>
      </c>
      <c r="F309" s="84">
        <v>550</v>
      </c>
      <c r="G309" s="84">
        <v>21450</v>
      </c>
      <c r="H309" s="84">
        <v>1200</v>
      </c>
      <c r="I309" s="84">
        <v>46800</v>
      </c>
      <c r="J309" s="84">
        <v>25350</v>
      </c>
    </row>
    <row r="310" spans="1:10" x14ac:dyDescent="0.35">
      <c r="A310" s="5">
        <v>45966</v>
      </c>
      <c r="B310" s="3" t="s">
        <v>38</v>
      </c>
      <c r="C310" s="3">
        <v>42</v>
      </c>
      <c r="D310" s="3" t="s">
        <v>39</v>
      </c>
      <c r="E310" s="3" t="s">
        <v>40</v>
      </c>
      <c r="F310" s="84">
        <v>1000</v>
      </c>
      <c r="G310" s="84">
        <v>42000</v>
      </c>
      <c r="H310" s="84">
        <v>2200</v>
      </c>
      <c r="I310" s="84">
        <v>92400</v>
      </c>
      <c r="J310" s="84">
        <v>50400</v>
      </c>
    </row>
    <row r="311" spans="1:10" x14ac:dyDescent="0.35">
      <c r="A311" s="5">
        <v>45967</v>
      </c>
      <c r="B311" s="3" t="s">
        <v>41</v>
      </c>
      <c r="C311" s="3">
        <v>16</v>
      </c>
      <c r="D311" s="3" t="s">
        <v>42</v>
      </c>
      <c r="E311" s="3" t="s">
        <v>43</v>
      </c>
      <c r="F311" s="84">
        <v>550</v>
      </c>
      <c r="G311" s="84">
        <v>8800</v>
      </c>
      <c r="H311" s="84">
        <v>650</v>
      </c>
      <c r="I311" s="84">
        <v>10400</v>
      </c>
      <c r="J311" s="84">
        <v>1600</v>
      </c>
    </row>
    <row r="312" spans="1:10" x14ac:dyDescent="0.35">
      <c r="A312" s="5">
        <v>45968</v>
      </c>
      <c r="B312" s="3" t="s">
        <v>15</v>
      </c>
      <c r="C312" s="3">
        <v>48</v>
      </c>
      <c r="D312" s="3" t="s">
        <v>16</v>
      </c>
      <c r="E312" s="3" t="s">
        <v>1</v>
      </c>
      <c r="F312" s="84">
        <v>2500</v>
      </c>
      <c r="G312" s="84">
        <v>120000</v>
      </c>
      <c r="H312" s="84">
        <v>5500</v>
      </c>
      <c r="I312" s="84">
        <v>264000</v>
      </c>
      <c r="J312" s="84">
        <v>144000</v>
      </c>
    </row>
    <row r="313" spans="1:10" x14ac:dyDescent="0.35">
      <c r="A313" s="5">
        <v>45969</v>
      </c>
      <c r="B313" s="3" t="s">
        <v>17</v>
      </c>
      <c r="C313" s="3">
        <v>13</v>
      </c>
      <c r="D313" s="3" t="s">
        <v>18</v>
      </c>
      <c r="E313" s="3" t="s">
        <v>19</v>
      </c>
      <c r="F313" s="84">
        <v>1200</v>
      </c>
      <c r="G313" s="84">
        <v>15600</v>
      </c>
      <c r="H313" s="84">
        <v>2500</v>
      </c>
      <c r="I313" s="84">
        <v>32500</v>
      </c>
      <c r="J313" s="84">
        <v>16900</v>
      </c>
    </row>
    <row r="314" spans="1:10" x14ac:dyDescent="0.35">
      <c r="A314" s="5">
        <v>45970</v>
      </c>
      <c r="B314" s="3" t="s">
        <v>20</v>
      </c>
      <c r="C314" s="3">
        <v>24</v>
      </c>
      <c r="D314" s="3" t="s">
        <v>21</v>
      </c>
      <c r="E314" s="3" t="s">
        <v>22</v>
      </c>
      <c r="F314" s="84">
        <v>800</v>
      </c>
      <c r="G314" s="84">
        <v>19200</v>
      </c>
      <c r="H314" s="84">
        <v>1500</v>
      </c>
      <c r="I314" s="84">
        <v>36000</v>
      </c>
      <c r="J314" s="84">
        <v>16800</v>
      </c>
    </row>
    <row r="315" spans="1:10" x14ac:dyDescent="0.35">
      <c r="A315" s="5">
        <v>45971</v>
      </c>
      <c r="B315" s="3" t="s">
        <v>23</v>
      </c>
      <c r="C315" s="3">
        <v>46</v>
      </c>
      <c r="D315" s="3" t="s">
        <v>24</v>
      </c>
      <c r="E315" s="3" t="s">
        <v>25</v>
      </c>
      <c r="F315" s="84">
        <v>1000</v>
      </c>
      <c r="G315" s="84">
        <v>46000</v>
      </c>
      <c r="H315" s="84">
        <v>2000</v>
      </c>
      <c r="I315" s="84">
        <v>92000</v>
      </c>
      <c r="J315" s="84">
        <v>46000</v>
      </c>
    </row>
    <row r="316" spans="1:10" x14ac:dyDescent="0.35">
      <c r="A316" s="5">
        <v>45972</v>
      </c>
      <c r="B316" s="3" t="s">
        <v>26</v>
      </c>
      <c r="C316" s="3">
        <v>11</v>
      </c>
      <c r="D316" s="3" t="s">
        <v>27</v>
      </c>
      <c r="E316" s="3" t="s">
        <v>28</v>
      </c>
      <c r="F316" s="84">
        <v>1000</v>
      </c>
      <c r="G316" s="84">
        <v>11000</v>
      </c>
      <c r="H316" s="84">
        <v>2200</v>
      </c>
      <c r="I316" s="84">
        <v>24200</v>
      </c>
      <c r="J316" s="84">
        <v>13200</v>
      </c>
    </row>
    <row r="317" spans="1:10" x14ac:dyDescent="0.35">
      <c r="A317" s="5">
        <v>45973</v>
      </c>
      <c r="B317" s="3" t="s">
        <v>29</v>
      </c>
      <c r="C317" s="3">
        <v>15</v>
      </c>
      <c r="D317" s="3" t="s">
        <v>30</v>
      </c>
      <c r="E317" s="3" t="s">
        <v>31</v>
      </c>
      <c r="F317" s="84">
        <v>600</v>
      </c>
      <c r="G317" s="84">
        <v>9000</v>
      </c>
      <c r="H317" s="84">
        <v>1200</v>
      </c>
      <c r="I317" s="84">
        <v>18000</v>
      </c>
      <c r="J317" s="84">
        <v>9000</v>
      </c>
    </row>
    <row r="318" spans="1:10" x14ac:dyDescent="0.35">
      <c r="A318" s="5">
        <v>45974</v>
      </c>
      <c r="B318" s="3" t="s">
        <v>32</v>
      </c>
      <c r="C318" s="3">
        <v>10</v>
      </c>
      <c r="D318" s="3" t="s">
        <v>33</v>
      </c>
      <c r="E318" s="3" t="s">
        <v>34</v>
      </c>
      <c r="F318" s="84">
        <v>200</v>
      </c>
      <c r="G318" s="84">
        <v>2000</v>
      </c>
      <c r="H318" s="84">
        <v>550</v>
      </c>
      <c r="I318" s="84">
        <v>5500</v>
      </c>
      <c r="J318" s="84">
        <v>3500</v>
      </c>
    </row>
    <row r="319" spans="1:10" x14ac:dyDescent="0.35">
      <c r="A319" s="5">
        <v>45975</v>
      </c>
      <c r="B319" s="3" t="s">
        <v>35</v>
      </c>
      <c r="C319" s="3">
        <v>69</v>
      </c>
      <c r="D319" s="3" t="s">
        <v>36</v>
      </c>
      <c r="E319" s="3" t="s">
        <v>37</v>
      </c>
      <c r="F319" s="84">
        <v>550</v>
      </c>
      <c r="G319" s="84">
        <v>37950</v>
      </c>
      <c r="H319" s="84">
        <v>1200</v>
      </c>
      <c r="I319" s="84">
        <v>82800</v>
      </c>
      <c r="J319" s="84">
        <v>44850</v>
      </c>
    </row>
    <row r="320" spans="1:10" x14ac:dyDescent="0.35">
      <c r="A320" s="5">
        <v>45976</v>
      </c>
      <c r="B320" s="3" t="s">
        <v>38</v>
      </c>
      <c r="C320" s="3">
        <v>82</v>
      </c>
      <c r="D320" s="3" t="s">
        <v>39</v>
      </c>
      <c r="E320" s="3" t="s">
        <v>40</v>
      </c>
      <c r="F320" s="84">
        <v>1000</v>
      </c>
      <c r="G320" s="84">
        <v>82000</v>
      </c>
      <c r="H320" s="84">
        <v>2200</v>
      </c>
      <c r="I320" s="84">
        <v>180400</v>
      </c>
      <c r="J320" s="84">
        <v>98400</v>
      </c>
    </row>
    <row r="321" spans="1:10" x14ac:dyDescent="0.35">
      <c r="A321" s="5">
        <v>45977</v>
      </c>
      <c r="B321" s="3" t="s">
        <v>41</v>
      </c>
      <c r="C321" s="3">
        <v>63</v>
      </c>
      <c r="D321" s="3" t="s">
        <v>42</v>
      </c>
      <c r="E321" s="3" t="s">
        <v>43</v>
      </c>
      <c r="F321" s="84">
        <v>550</v>
      </c>
      <c r="G321" s="84">
        <v>34650</v>
      </c>
      <c r="H321" s="84">
        <v>650</v>
      </c>
      <c r="I321" s="84">
        <v>40950</v>
      </c>
      <c r="J321" s="84">
        <v>6300</v>
      </c>
    </row>
    <row r="322" spans="1:10" x14ac:dyDescent="0.35">
      <c r="A322" s="5">
        <v>45978</v>
      </c>
      <c r="B322" s="3" t="s">
        <v>15</v>
      </c>
      <c r="C322" s="3">
        <v>46</v>
      </c>
      <c r="D322" s="3" t="s">
        <v>16</v>
      </c>
      <c r="E322" s="3" t="s">
        <v>1</v>
      </c>
      <c r="F322" s="84">
        <v>2500</v>
      </c>
      <c r="G322" s="84">
        <v>115000</v>
      </c>
      <c r="H322" s="84">
        <v>5500</v>
      </c>
      <c r="I322" s="84">
        <v>253000</v>
      </c>
      <c r="J322" s="84">
        <v>138000</v>
      </c>
    </row>
    <row r="323" spans="1:10" x14ac:dyDescent="0.35">
      <c r="A323" s="5">
        <v>45979</v>
      </c>
      <c r="B323" s="3" t="s">
        <v>17</v>
      </c>
      <c r="C323" s="3">
        <v>34</v>
      </c>
      <c r="D323" s="3" t="s">
        <v>18</v>
      </c>
      <c r="E323" s="3" t="s">
        <v>19</v>
      </c>
      <c r="F323" s="84">
        <v>1200</v>
      </c>
      <c r="G323" s="84">
        <v>40800</v>
      </c>
      <c r="H323" s="84">
        <v>2500</v>
      </c>
      <c r="I323" s="84">
        <v>85000</v>
      </c>
      <c r="J323" s="84">
        <v>44200</v>
      </c>
    </row>
    <row r="324" spans="1:10" x14ac:dyDescent="0.35">
      <c r="A324" s="5">
        <v>45980</v>
      </c>
      <c r="B324" s="3" t="s">
        <v>20</v>
      </c>
      <c r="C324" s="3">
        <v>53</v>
      </c>
      <c r="D324" s="3" t="s">
        <v>21</v>
      </c>
      <c r="E324" s="3" t="s">
        <v>22</v>
      </c>
      <c r="F324" s="84">
        <v>800</v>
      </c>
      <c r="G324" s="84">
        <v>42400</v>
      </c>
      <c r="H324" s="84">
        <v>1500</v>
      </c>
      <c r="I324" s="84">
        <v>79500</v>
      </c>
      <c r="J324" s="84">
        <v>37100</v>
      </c>
    </row>
    <row r="325" spans="1:10" x14ac:dyDescent="0.35">
      <c r="A325" s="5">
        <v>45981</v>
      </c>
      <c r="B325" s="3" t="s">
        <v>23</v>
      </c>
      <c r="C325" s="3">
        <v>60</v>
      </c>
      <c r="D325" s="3" t="s">
        <v>24</v>
      </c>
      <c r="E325" s="3" t="s">
        <v>25</v>
      </c>
      <c r="F325" s="84">
        <v>1000</v>
      </c>
      <c r="G325" s="84">
        <v>60000</v>
      </c>
      <c r="H325" s="84">
        <v>2000</v>
      </c>
      <c r="I325" s="84">
        <v>120000</v>
      </c>
      <c r="J325" s="84">
        <v>60000</v>
      </c>
    </row>
    <row r="326" spans="1:10" x14ac:dyDescent="0.35">
      <c r="A326" s="5">
        <v>45982</v>
      </c>
      <c r="B326" s="3" t="s">
        <v>26</v>
      </c>
      <c r="C326" s="3">
        <v>89</v>
      </c>
      <c r="D326" s="3" t="s">
        <v>27</v>
      </c>
      <c r="E326" s="3" t="s">
        <v>28</v>
      </c>
      <c r="F326" s="84">
        <v>1000</v>
      </c>
      <c r="G326" s="84">
        <v>89000</v>
      </c>
      <c r="H326" s="84">
        <v>2200</v>
      </c>
      <c r="I326" s="84">
        <v>195800</v>
      </c>
      <c r="J326" s="84">
        <v>106800</v>
      </c>
    </row>
    <row r="327" spans="1:10" x14ac:dyDescent="0.35">
      <c r="A327" s="5">
        <v>45983</v>
      </c>
      <c r="B327" s="3" t="s">
        <v>29</v>
      </c>
      <c r="C327" s="3">
        <v>30</v>
      </c>
      <c r="D327" s="3" t="s">
        <v>30</v>
      </c>
      <c r="E327" s="3" t="s">
        <v>31</v>
      </c>
      <c r="F327" s="84">
        <v>600</v>
      </c>
      <c r="G327" s="84">
        <v>18000</v>
      </c>
      <c r="H327" s="84">
        <v>1200</v>
      </c>
      <c r="I327" s="84">
        <v>36000</v>
      </c>
      <c r="J327" s="84">
        <v>18000</v>
      </c>
    </row>
    <row r="328" spans="1:10" x14ac:dyDescent="0.35">
      <c r="A328" s="5">
        <v>45984</v>
      </c>
      <c r="B328" s="3" t="s">
        <v>32</v>
      </c>
      <c r="C328" s="3">
        <v>43</v>
      </c>
      <c r="D328" s="3" t="s">
        <v>33</v>
      </c>
      <c r="E328" s="3" t="s">
        <v>34</v>
      </c>
      <c r="F328" s="84">
        <v>200</v>
      </c>
      <c r="G328" s="84">
        <v>8600</v>
      </c>
      <c r="H328" s="84">
        <v>550</v>
      </c>
      <c r="I328" s="84">
        <v>23650</v>
      </c>
      <c r="J328" s="84">
        <v>15050</v>
      </c>
    </row>
    <row r="329" spans="1:10" x14ac:dyDescent="0.35">
      <c r="A329" s="5">
        <v>45985</v>
      </c>
      <c r="B329" s="3" t="s">
        <v>35</v>
      </c>
      <c r="C329" s="3">
        <v>32</v>
      </c>
      <c r="D329" s="3" t="s">
        <v>36</v>
      </c>
      <c r="E329" s="3" t="s">
        <v>37</v>
      </c>
      <c r="F329" s="84">
        <v>550</v>
      </c>
      <c r="G329" s="84">
        <v>17600</v>
      </c>
      <c r="H329" s="84">
        <v>1200</v>
      </c>
      <c r="I329" s="84">
        <v>38400</v>
      </c>
      <c r="J329" s="84">
        <v>20800</v>
      </c>
    </row>
    <row r="330" spans="1:10" x14ac:dyDescent="0.35">
      <c r="A330" s="5">
        <v>45986</v>
      </c>
      <c r="B330" s="3" t="s">
        <v>38</v>
      </c>
      <c r="C330" s="3">
        <v>36</v>
      </c>
      <c r="D330" s="3" t="s">
        <v>39</v>
      </c>
      <c r="E330" s="3" t="s">
        <v>40</v>
      </c>
      <c r="F330" s="84">
        <v>1000</v>
      </c>
      <c r="G330" s="84">
        <v>36000</v>
      </c>
      <c r="H330" s="84">
        <v>2200</v>
      </c>
      <c r="I330" s="84">
        <v>79200</v>
      </c>
      <c r="J330" s="84">
        <v>43200</v>
      </c>
    </row>
    <row r="331" spans="1:10" x14ac:dyDescent="0.35">
      <c r="A331" s="5">
        <v>45987</v>
      </c>
      <c r="B331" s="3" t="s">
        <v>41</v>
      </c>
      <c r="C331" s="3">
        <v>5</v>
      </c>
      <c r="D331" s="3" t="s">
        <v>42</v>
      </c>
      <c r="E331" s="3" t="s">
        <v>43</v>
      </c>
      <c r="F331" s="84">
        <v>550</v>
      </c>
      <c r="G331" s="84">
        <v>2750</v>
      </c>
      <c r="H331" s="84">
        <v>650</v>
      </c>
      <c r="I331" s="84">
        <v>3250</v>
      </c>
      <c r="J331" s="84">
        <v>500</v>
      </c>
    </row>
    <row r="332" spans="1:10" x14ac:dyDescent="0.35">
      <c r="A332" s="5">
        <v>45988</v>
      </c>
      <c r="B332" s="3" t="s">
        <v>15</v>
      </c>
      <c r="C332" s="3">
        <v>18</v>
      </c>
      <c r="D332" s="3" t="s">
        <v>16</v>
      </c>
      <c r="E332" s="3" t="s">
        <v>1</v>
      </c>
      <c r="F332" s="84">
        <v>2500</v>
      </c>
      <c r="G332" s="84">
        <v>45000</v>
      </c>
      <c r="H332" s="84">
        <v>5500</v>
      </c>
      <c r="I332" s="84">
        <v>99000</v>
      </c>
      <c r="J332" s="84">
        <v>54000</v>
      </c>
    </row>
    <row r="333" spans="1:10" x14ac:dyDescent="0.35">
      <c r="A333" s="5">
        <v>45989</v>
      </c>
      <c r="B333" s="3" t="s">
        <v>17</v>
      </c>
      <c r="C333" s="3">
        <v>24</v>
      </c>
      <c r="D333" s="3" t="s">
        <v>18</v>
      </c>
      <c r="E333" s="3" t="s">
        <v>19</v>
      </c>
      <c r="F333" s="84">
        <v>1200</v>
      </c>
      <c r="G333" s="84">
        <v>28800</v>
      </c>
      <c r="H333" s="84">
        <v>2500</v>
      </c>
      <c r="I333" s="84">
        <v>60000</v>
      </c>
      <c r="J333" s="84">
        <v>31200</v>
      </c>
    </row>
    <row r="334" spans="1:10" x14ac:dyDescent="0.35">
      <c r="A334" s="5">
        <v>45990</v>
      </c>
      <c r="B334" s="3" t="s">
        <v>20</v>
      </c>
      <c r="C334" s="3">
        <v>74</v>
      </c>
      <c r="D334" s="3" t="s">
        <v>21</v>
      </c>
      <c r="E334" s="3" t="s">
        <v>22</v>
      </c>
      <c r="F334" s="84">
        <v>800</v>
      </c>
      <c r="G334" s="84">
        <v>59200</v>
      </c>
      <c r="H334" s="84">
        <v>1500</v>
      </c>
      <c r="I334" s="84">
        <v>111000</v>
      </c>
      <c r="J334" s="84">
        <v>51800</v>
      </c>
    </row>
    <row r="335" spans="1:10" x14ac:dyDescent="0.35">
      <c r="A335" s="5">
        <v>45991</v>
      </c>
      <c r="B335" s="3" t="s">
        <v>23</v>
      </c>
      <c r="C335" s="3">
        <v>64</v>
      </c>
      <c r="D335" s="3" t="s">
        <v>24</v>
      </c>
      <c r="E335" s="3" t="s">
        <v>25</v>
      </c>
      <c r="F335" s="84">
        <v>1000</v>
      </c>
      <c r="G335" s="84">
        <v>64000</v>
      </c>
      <c r="H335" s="84">
        <v>2000</v>
      </c>
      <c r="I335" s="84">
        <v>128000</v>
      </c>
      <c r="J335" s="84">
        <v>64000</v>
      </c>
    </row>
    <row r="336" spans="1:10" x14ac:dyDescent="0.35">
      <c r="A336" s="5">
        <v>45992</v>
      </c>
      <c r="B336" s="3" t="s">
        <v>26</v>
      </c>
      <c r="C336" s="3">
        <v>47</v>
      </c>
      <c r="D336" s="3" t="s">
        <v>27</v>
      </c>
      <c r="E336" s="3" t="s">
        <v>28</v>
      </c>
      <c r="F336" s="84">
        <v>1000</v>
      </c>
      <c r="G336" s="84">
        <v>47000</v>
      </c>
      <c r="H336" s="84">
        <v>2200</v>
      </c>
      <c r="I336" s="84">
        <v>103400</v>
      </c>
      <c r="J336" s="84">
        <v>56400</v>
      </c>
    </row>
    <row r="337" spans="1:10" x14ac:dyDescent="0.35">
      <c r="A337" s="5">
        <v>45993</v>
      </c>
      <c r="B337" s="3" t="s">
        <v>29</v>
      </c>
      <c r="C337" s="3">
        <v>70</v>
      </c>
      <c r="D337" s="3" t="s">
        <v>30</v>
      </c>
      <c r="E337" s="3" t="s">
        <v>31</v>
      </c>
      <c r="F337" s="84">
        <v>600</v>
      </c>
      <c r="G337" s="84">
        <v>42000</v>
      </c>
      <c r="H337" s="84">
        <v>1200</v>
      </c>
      <c r="I337" s="84">
        <v>84000</v>
      </c>
      <c r="J337" s="84">
        <v>42000</v>
      </c>
    </row>
    <row r="338" spans="1:10" x14ac:dyDescent="0.35">
      <c r="A338" s="5">
        <v>45994</v>
      </c>
      <c r="B338" s="3" t="s">
        <v>32</v>
      </c>
      <c r="C338" s="3">
        <v>77</v>
      </c>
      <c r="D338" s="3" t="s">
        <v>33</v>
      </c>
      <c r="E338" s="3" t="s">
        <v>34</v>
      </c>
      <c r="F338" s="84">
        <v>200</v>
      </c>
      <c r="G338" s="84">
        <v>15400</v>
      </c>
      <c r="H338" s="84">
        <v>550</v>
      </c>
      <c r="I338" s="84">
        <v>42350</v>
      </c>
      <c r="J338" s="84">
        <v>26950</v>
      </c>
    </row>
    <row r="339" spans="1:10" x14ac:dyDescent="0.35">
      <c r="A339" s="5">
        <v>45995</v>
      </c>
      <c r="B339" s="3" t="s">
        <v>35</v>
      </c>
      <c r="C339" s="3">
        <v>60</v>
      </c>
      <c r="D339" s="3" t="s">
        <v>36</v>
      </c>
      <c r="E339" s="3" t="s">
        <v>37</v>
      </c>
      <c r="F339" s="84">
        <v>550</v>
      </c>
      <c r="G339" s="84">
        <v>33000</v>
      </c>
      <c r="H339" s="84">
        <v>1200</v>
      </c>
      <c r="I339" s="84">
        <v>72000</v>
      </c>
      <c r="J339" s="84">
        <v>39000</v>
      </c>
    </row>
    <row r="340" spans="1:10" x14ac:dyDescent="0.35">
      <c r="A340" s="5">
        <v>45996</v>
      </c>
      <c r="B340" s="3" t="s">
        <v>38</v>
      </c>
      <c r="C340" s="3">
        <v>86</v>
      </c>
      <c r="D340" s="3" t="s">
        <v>39</v>
      </c>
      <c r="E340" s="3" t="s">
        <v>40</v>
      </c>
      <c r="F340" s="84">
        <v>1000</v>
      </c>
      <c r="G340" s="84">
        <v>86000</v>
      </c>
      <c r="H340" s="84">
        <v>2200</v>
      </c>
      <c r="I340" s="84">
        <v>189200</v>
      </c>
      <c r="J340" s="84">
        <v>103200</v>
      </c>
    </row>
    <row r="341" spans="1:10" x14ac:dyDescent="0.35">
      <c r="A341" s="5">
        <v>45997</v>
      </c>
      <c r="B341" s="3" t="s">
        <v>41</v>
      </c>
      <c r="C341" s="3">
        <v>83</v>
      </c>
      <c r="D341" s="3" t="s">
        <v>42</v>
      </c>
      <c r="E341" s="3" t="s">
        <v>43</v>
      </c>
      <c r="F341" s="84">
        <v>550</v>
      </c>
      <c r="G341" s="84">
        <v>45650</v>
      </c>
      <c r="H341" s="84">
        <v>650</v>
      </c>
      <c r="I341" s="84">
        <v>53950</v>
      </c>
      <c r="J341" s="84">
        <v>8300</v>
      </c>
    </row>
    <row r="342" spans="1:10" x14ac:dyDescent="0.35">
      <c r="A342" s="5">
        <v>45998</v>
      </c>
      <c r="B342" s="3" t="s">
        <v>15</v>
      </c>
      <c r="C342" s="3">
        <v>14</v>
      </c>
      <c r="D342" s="3" t="s">
        <v>16</v>
      </c>
      <c r="E342" s="3" t="s">
        <v>1</v>
      </c>
      <c r="F342" s="84">
        <v>2500</v>
      </c>
      <c r="G342" s="84">
        <v>35000</v>
      </c>
      <c r="H342" s="84">
        <v>5500</v>
      </c>
      <c r="I342" s="84">
        <v>77000</v>
      </c>
      <c r="J342" s="84">
        <v>42000</v>
      </c>
    </row>
    <row r="343" spans="1:10" x14ac:dyDescent="0.35">
      <c r="A343" s="5">
        <v>45999</v>
      </c>
      <c r="B343" s="3" t="s">
        <v>17</v>
      </c>
      <c r="C343" s="3">
        <v>70</v>
      </c>
      <c r="D343" s="3" t="s">
        <v>18</v>
      </c>
      <c r="E343" s="3" t="s">
        <v>19</v>
      </c>
      <c r="F343" s="84">
        <v>1200</v>
      </c>
      <c r="G343" s="84">
        <v>84000</v>
      </c>
      <c r="H343" s="84">
        <v>2500</v>
      </c>
      <c r="I343" s="84">
        <v>175000</v>
      </c>
      <c r="J343" s="84">
        <v>91000</v>
      </c>
    </row>
    <row r="344" spans="1:10" x14ac:dyDescent="0.35">
      <c r="A344" s="5">
        <v>46000</v>
      </c>
      <c r="B344" s="3" t="s">
        <v>20</v>
      </c>
      <c r="C344" s="3">
        <v>44</v>
      </c>
      <c r="D344" s="3" t="s">
        <v>21</v>
      </c>
      <c r="E344" s="3" t="s">
        <v>22</v>
      </c>
      <c r="F344" s="84">
        <v>800</v>
      </c>
      <c r="G344" s="84">
        <v>35200</v>
      </c>
      <c r="H344" s="84">
        <v>1500</v>
      </c>
      <c r="I344" s="84">
        <v>66000</v>
      </c>
      <c r="J344" s="84">
        <v>30800</v>
      </c>
    </row>
    <row r="345" spans="1:10" x14ac:dyDescent="0.35">
      <c r="A345" s="5">
        <v>46001</v>
      </c>
      <c r="B345" s="3" t="s">
        <v>23</v>
      </c>
      <c r="C345" s="3">
        <v>13</v>
      </c>
      <c r="D345" s="3" t="s">
        <v>24</v>
      </c>
      <c r="E345" s="3" t="s">
        <v>25</v>
      </c>
      <c r="F345" s="84">
        <v>1000</v>
      </c>
      <c r="G345" s="84">
        <v>13000</v>
      </c>
      <c r="H345" s="84">
        <v>2000</v>
      </c>
      <c r="I345" s="84">
        <v>26000</v>
      </c>
      <c r="J345" s="84">
        <v>13000</v>
      </c>
    </row>
    <row r="346" spans="1:10" x14ac:dyDescent="0.35">
      <c r="A346" s="5">
        <v>46002</v>
      </c>
      <c r="B346" s="3" t="s">
        <v>26</v>
      </c>
      <c r="C346" s="3">
        <v>15</v>
      </c>
      <c r="D346" s="3" t="s">
        <v>27</v>
      </c>
      <c r="E346" s="3" t="s">
        <v>28</v>
      </c>
      <c r="F346" s="84">
        <v>1000</v>
      </c>
      <c r="G346" s="84">
        <v>15000</v>
      </c>
      <c r="H346" s="84">
        <v>2200</v>
      </c>
      <c r="I346" s="84">
        <v>33000</v>
      </c>
      <c r="J346" s="84">
        <v>18000</v>
      </c>
    </row>
    <row r="347" spans="1:10" x14ac:dyDescent="0.35">
      <c r="A347" s="5">
        <v>46003</v>
      </c>
      <c r="B347" s="3" t="s">
        <v>29</v>
      </c>
      <c r="C347" s="3">
        <v>82</v>
      </c>
      <c r="D347" s="3" t="s">
        <v>30</v>
      </c>
      <c r="E347" s="3" t="s">
        <v>31</v>
      </c>
      <c r="F347" s="84">
        <v>600</v>
      </c>
      <c r="G347" s="84">
        <v>49200</v>
      </c>
      <c r="H347" s="84">
        <v>1200</v>
      </c>
      <c r="I347" s="84">
        <v>98400</v>
      </c>
      <c r="J347" s="84">
        <v>49200</v>
      </c>
    </row>
    <row r="348" spans="1:10" x14ac:dyDescent="0.35">
      <c r="A348" s="5">
        <v>46004</v>
      </c>
      <c r="B348" s="3" t="s">
        <v>32</v>
      </c>
      <c r="C348" s="3">
        <v>60</v>
      </c>
      <c r="D348" s="3" t="s">
        <v>33</v>
      </c>
      <c r="E348" s="3" t="s">
        <v>34</v>
      </c>
      <c r="F348" s="84">
        <v>200</v>
      </c>
      <c r="G348" s="84">
        <v>12000</v>
      </c>
      <c r="H348" s="84">
        <v>550</v>
      </c>
      <c r="I348" s="84">
        <v>33000</v>
      </c>
      <c r="J348" s="84">
        <v>21000</v>
      </c>
    </row>
    <row r="349" spans="1:10" x14ac:dyDescent="0.35">
      <c r="A349" s="5">
        <v>46005</v>
      </c>
      <c r="B349" s="3" t="s">
        <v>35</v>
      </c>
      <c r="C349" s="3">
        <v>74</v>
      </c>
      <c r="D349" s="3" t="s">
        <v>36</v>
      </c>
      <c r="E349" s="3" t="s">
        <v>37</v>
      </c>
      <c r="F349" s="84">
        <v>550</v>
      </c>
      <c r="G349" s="84">
        <v>40700</v>
      </c>
      <c r="H349" s="84">
        <v>1200</v>
      </c>
      <c r="I349" s="84">
        <v>88800</v>
      </c>
      <c r="J349" s="84">
        <v>48100</v>
      </c>
    </row>
    <row r="350" spans="1:10" x14ac:dyDescent="0.35">
      <c r="A350" s="5">
        <v>46006</v>
      </c>
      <c r="B350" s="3" t="s">
        <v>38</v>
      </c>
      <c r="C350" s="3">
        <v>7</v>
      </c>
      <c r="D350" s="3" t="s">
        <v>39</v>
      </c>
      <c r="E350" s="3" t="s">
        <v>40</v>
      </c>
      <c r="F350" s="84">
        <v>1000</v>
      </c>
      <c r="G350" s="84">
        <v>7000</v>
      </c>
      <c r="H350" s="84">
        <v>2200</v>
      </c>
      <c r="I350" s="84">
        <v>15400</v>
      </c>
      <c r="J350" s="84">
        <v>8400</v>
      </c>
    </row>
    <row r="351" spans="1:10" x14ac:dyDescent="0.35">
      <c r="A351" s="5">
        <v>46007</v>
      </c>
      <c r="B351" s="3" t="s">
        <v>41</v>
      </c>
      <c r="C351" s="3">
        <v>15</v>
      </c>
      <c r="D351" s="3" t="s">
        <v>42</v>
      </c>
      <c r="E351" s="3" t="s">
        <v>43</v>
      </c>
      <c r="F351" s="84">
        <v>550</v>
      </c>
      <c r="G351" s="84">
        <v>8250</v>
      </c>
      <c r="H351" s="84">
        <v>650</v>
      </c>
      <c r="I351" s="84">
        <v>9750</v>
      </c>
      <c r="J351" s="84">
        <v>1500</v>
      </c>
    </row>
    <row r="352" spans="1:10" x14ac:dyDescent="0.35">
      <c r="A352" s="5">
        <v>46008</v>
      </c>
      <c r="B352" s="3" t="s">
        <v>15</v>
      </c>
      <c r="C352" s="3">
        <v>49</v>
      </c>
      <c r="D352" s="3" t="s">
        <v>16</v>
      </c>
      <c r="E352" s="3" t="s">
        <v>1</v>
      </c>
      <c r="F352" s="84">
        <v>2500</v>
      </c>
      <c r="G352" s="84">
        <v>122500</v>
      </c>
      <c r="H352" s="84">
        <v>5500</v>
      </c>
      <c r="I352" s="84">
        <v>269500</v>
      </c>
      <c r="J352" s="84">
        <v>147000</v>
      </c>
    </row>
    <row r="353" spans="1:10" x14ac:dyDescent="0.35">
      <c r="A353" s="5">
        <v>46009</v>
      </c>
      <c r="B353" s="3" t="s">
        <v>17</v>
      </c>
      <c r="C353" s="3">
        <v>68</v>
      </c>
      <c r="D353" s="3" t="s">
        <v>18</v>
      </c>
      <c r="E353" s="3" t="s">
        <v>19</v>
      </c>
      <c r="F353" s="84">
        <v>1200</v>
      </c>
      <c r="G353" s="84">
        <v>81600</v>
      </c>
      <c r="H353" s="84">
        <v>2500</v>
      </c>
      <c r="I353" s="84">
        <v>170000</v>
      </c>
      <c r="J353" s="84">
        <v>88400</v>
      </c>
    </row>
    <row r="354" spans="1:10" x14ac:dyDescent="0.35">
      <c r="A354" s="5">
        <v>46010</v>
      </c>
      <c r="B354" s="3" t="s">
        <v>20</v>
      </c>
      <c r="C354" s="3">
        <v>44</v>
      </c>
      <c r="D354" s="3" t="s">
        <v>21</v>
      </c>
      <c r="E354" s="3" t="s">
        <v>22</v>
      </c>
      <c r="F354" s="84">
        <v>800</v>
      </c>
      <c r="G354" s="84">
        <v>35200</v>
      </c>
      <c r="H354" s="84">
        <v>1500</v>
      </c>
      <c r="I354" s="84">
        <v>66000</v>
      </c>
      <c r="J354" s="84">
        <v>30800</v>
      </c>
    </row>
    <row r="355" spans="1:10" x14ac:dyDescent="0.35">
      <c r="A355" s="5">
        <v>46011</v>
      </c>
      <c r="B355" s="3" t="s">
        <v>23</v>
      </c>
      <c r="C355" s="3">
        <v>63</v>
      </c>
      <c r="D355" s="3" t="s">
        <v>24</v>
      </c>
      <c r="E355" s="3" t="s">
        <v>25</v>
      </c>
      <c r="F355" s="84">
        <v>1000</v>
      </c>
      <c r="G355" s="84">
        <v>63000</v>
      </c>
      <c r="H355" s="84">
        <v>2000</v>
      </c>
      <c r="I355" s="84">
        <v>126000</v>
      </c>
      <c r="J355" s="84">
        <v>63000</v>
      </c>
    </row>
    <row r="356" spans="1:10" x14ac:dyDescent="0.35">
      <c r="A356" s="5">
        <v>46012</v>
      </c>
      <c r="B356" s="3" t="s">
        <v>26</v>
      </c>
      <c r="C356" s="3">
        <v>83</v>
      </c>
      <c r="D356" s="3" t="s">
        <v>27</v>
      </c>
      <c r="E356" s="3" t="s">
        <v>28</v>
      </c>
      <c r="F356" s="84">
        <v>1000</v>
      </c>
      <c r="G356" s="84">
        <v>83000</v>
      </c>
      <c r="H356" s="84">
        <v>2200</v>
      </c>
      <c r="I356" s="84">
        <v>182600</v>
      </c>
      <c r="J356" s="84">
        <v>99600</v>
      </c>
    </row>
    <row r="357" spans="1:10" x14ac:dyDescent="0.35">
      <c r="A357" s="5">
        <v>46013</v>
      </c>
      <c r="B357" s="3" t="s">
        <v>29</v>
      </c>
      <c r="C357" s="3">
        <v>50</v>
      </c>
      <c r="D357" s="3" t="s">
        <v>30</v>
      </c>
      <c r="E357" s="3" t="s">
        <v>31</v>
      </c>
      <c r="F357" s="84">
        <v>600</v>
      </c>
      <c r="G357" s="84">
        <v>30000</v>
      </c>
      <c r="H357" s="84">
        <v>1200</v>
      </c>
      <c r="I357" s="84">
        <v>60000</v>
      </c>
      <c r="J357" s="84">
        <v>30000</v>
      </c>
    </row>
    <row r="358" spans="1:10" x14ac:dyDescent="0.35">
      <c r="A358" s="5">
        <v>46014</v>
      </c>
      <c r="B358" s="3" t="s">
        <v>32</v>
      </c>
      <c r="C358" s="3">
        <v>83</v>
      </c>
      <c r="D358" s="3" t="s">
        <v>33</v>
      </c>
      <c r="E358" s="3" t="s">
        <v>34</v>
      </c>
      <c r="F358" s="84">
        <v>200</v>
      </c>
      <c r="G358" s="84">
        <v>16600</v>
      </c>
      <c r="H358" s="84">
        <v>550</v>
      </c>
      <c r="I358" s="84">
        <v>45650</v>
      </c>
      <c r="J358" s="84">
        <v>29050</v>
      </c>
    </row>
    <row r="359" spans="1:10" x14ac:dyDescent="0.35">
      <c r="A359" s="5">
        <v>46015</v>
      </c>
      <c r="B359" s="3" t="s">
        <v>35</v>
      </c>
      <c r="C359" s="3">
        <v>90</v>
      </c>
      <c r="D359" s="3" t="s">
        <v>36</v>
      </c>
      <c r="E359" s="3" t="s">
        <v>37</v>
      </c>
      <c r="F359" s="84">
        <v>550</v>
      </c>
      <c r="G359" s="84">
        <v>49500</v>
      </c>
      <c r="H359" s="84">
        <v>1200</v>
      </c>
      <c r="I359" s="84">
        <v>108000</v>
      </c>
      <c r="J359" s="84">
        <v>58500</v>
      </c>
    </row>
    <row r="360" spans="1:10" x14ac:dyDescent="0.35">
      <c r="A360" s="5">
        <v>46016</v>
      </c>
      <c r="B360" s="3" t="s">
        <v>38</v>
      </c>
      <c r="C360" s="3">
        <v>59</v>
      </c>
      <c r="D360" s="3" t="s">
        <v>39</v>
      </c>
      <c r="E360" s="3" t="s">
        <v>40</v>
      </c>
      <c r="F360" s="84">
        <v>1000</v>
      </c>
      <c r="G360" s="84">
        <v>59000</v>
      </c>
      <c r="H360" s="84">
        <v>2200</v>
      </c>
      <c r="I360" s="84">
        <v>129800</v>
      </c>
      <c r="J360" s="84">
        <v>70800</v>
      </c>
    </row>
    <row r="361" spans="1:10" x14ac:dyDescent="0.35">
      <c r="A361" s="5">
        <v>46017</v>
      </c>
      <c r="B361" s="3" t="s">
        <v>41</v>
      </c>
      <c r="C361" s="3">
        <v>90</v>
      </c>
      <c r="D361" s="3" t="s">
        <v>42</v>
      </c>
      <c r="E361" s="3" t="s">
        <v>43</v>
      </c>
      <c r="F361" s="84">
        <v>550</v>
      </c>
      <c r="G361" s="84">
        <v>49500</v>
      </c>
      <c r="H361" s="84">
        <v>650</v>
      </c>
      <c r="I361" s="84">
        <v>58500</v>
      </c>
      <c r="J361" s="84">
        <v>9000</v>
      </c>
    </row>
    <row r="362" spans="1:10" x14ac:dyDescent="0.35">
      <c r="A362" s="5">
        <v>46018</v>
      </c>
      <c r="B362" s="3" t="s">
        <v>29</v>
      </c>
      <c r="C362" s="3">
        <v>38</v>
      </c>
      <c r="D362" s="3" t="s">
        <v>16</v>
      </c>
      <c r="E362" s="3" t="s">
        <v>1</v>
      </c>
      <c r="F362" s="84">
        <v>600</v>
      </c>
      <c r="G362" s="84">
        <v>22800</v>
      </c>
      <c r="H362" s="84">
        <v>1200</v>
      </c>
      <c r="I362" s="84">
        <v>45600</v>
      </c>
      <c r="J362" s="84">
        <v>22800</v>
      </c>
    </row>
    <row r="363" spans="1:10" x14ac:dyDescent="0.35">
      <c r="A363" s="5">
        <v>46019</v>
      </c>
      <c r="B363" s="3" t="s">
        <v>32</v>
      </c>
      <c r="C363" s="3">
        <v>10</v>
      </c>
      <c r="D363" s="3" t="s">
        <v>18</v>
      </c>
      <c r="E363" s="3" t="s">
        <v>19</v>
      </c>
      <c r="F363" s="84">
        <v>200</v>
      </c>
      <c r="G363" s="84">
        <v>2000</v>
      </c>
      <c r="H363" s="84">
        <v>550</v>
      </c>
      <c r="I363" s="84">
        <v>5500</v>
      </c>
      <c r="J363" s="84">
        <v>3500</v>
      </c>
    </row>
    <row r="364" spans="1:10" x14ac:dyDescent="0.35">
      <c r="A364" s="5">
        <v>46020</v>
      </c>
      <c r="B364" s="3" t="s">
        <v>35</v>
      </c>
      <c r="C364" s="3">
        <v>48</v>
      </c>
      <c r="D364" s="3" t="s">
        <v>21</v>
      </c>
      <c r="E364" s="3" t="s">
        <v>22</v>
      </c>
      <c r="F364" s="84">
        <v>550</v>
      </c>
      <c r="G364" s="84">
        <v>26400</v>
      </c>
      <c r="H364" s="84">
        <v>1200</v>
      </c>
      <c r="I364" s="84">
        <v>57600</v>
      </c>
      <c r="J364" s="84">
        <v>31200</v>
      </c>
    </row>
    <row r="365" spans="1:10" x14ac:dyDescent="0.35">
      <c r="A365" s="5">
        <v>46021</v>
      </c>
      <c r="B365" s="3" t="s">
        <v>38</v>
      </c>
      <c r="C365" s="3">
        <v>34</v>
      </c>
      <c r="D365" s="3" t="s">
        <v>24</v>
      </c>
      <c r="E365" s="3" t="s">
        <v>25</v>
      </c>
      <c r="F365" s="84">
        <v>1000</v>
      </c>
      <c r="G365" s="84">
        <v>34000</v>
      </c>
      <c r="H365" s="84">
        <v>2200</v>
      </c>
      <c r="I365" s="84">
        <v>74800</v>
      </c>
      <c r="J365" s="84">
        <v>40800</v>
      </c>
    </row>
    <row r="366" spans="1:10" x14ac:dyDescent="0.35">
      <c r="A366" s="5">
        <v>46022</v>
      </c>
      <c r="B366" s="3" t="s">
        <v>41</v>
      </c>
      <c r="C366" s="3">
        <v>62</v>
      </c>
      <c r="D366" s="3" t="s">
        <v>27</v>
      </c>
      <c r="E366" s="3" t="s">
        <v>28</v>
      </c>
      <c r="F366" s="84">
        <v>550</v>
      </c>
      <c r="G366" s="84">
        <v>34100</v>
      </c>
      <c r="H366" s="84">
        <v>650</v>
      </c>
      <c r="I366" s="84">
        <v>40300</v>
      </c>
      <c r="J366" s="84">
        <v>6200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8479-BD7A-437B-88B5-ADF02A058445}">
  <dimension ref="A1:K415"/>
  <sheetViews>
    <sheetView showGridLines="0" workbookViewId="0">
      <selection activeCell="G2" sqref="G2:K2"/>
    </sheetView>
  </sheetViews>
  <sheetFormatPr defaultRowHeight="14.5" x14ac:dyDescent="0.35"/>
  <cols>
    <col min="1" max="1" width="19.26953125" bestFit="1" customWidth="1"/>
    <col min="2" max="2" width="13.1796875" bestFit="1" customWidth="1"/>
    <col min="3" max="3" width="10" bestFit="1" customWidth="1"/>
    <col min="4" max="4" width="17.453125" bestFit="1" customWidth="1"/>
    <col min="5" max="5" width="13.1796875" bestFit="1" customWidth="1"/>
    <col min="6" max="6" width="3.6328125" customWidth="1"/>
    <col min="7" max="7" width="14" bestFit="1" customWidth="1"/>
    <col min="8" max="8" width="13.1796875" bestFit="1" customWidth="1"/>
    <col min="9" max="9" width="10" bestFit="1" customWidth="1"/>
    <col min="10" max="10" width="14" bestFit="1" customWidth="1"/>
    <col min="11" max="11" width="13.1796875" bestFit="1" customWidth="1"/>
    <col min="12" max="12" width="4.81640625" bestFit="1" customWidth="1"/>
    <col min="13" max="13" width="15.1796875" bestFit="1" customWidth="1"/>
    <col min="14" max="14" width="17.90625" bestFit="1" customWidth="1"/>
    <col min="15" max="23" width="4.81640625" bestFit="1" customWidth="1"/>
    <col min="24" max="164" width="5.81640625" bestFit="1" customWidth="1"/>
    <col min="165" max="257" width="6.81640625" bestFit="1" customWidth="1"/>
    <col min="258" max="258" width="10.7265625" bestFit="1" customWidth="1"/>
  </cols>
  <sheetData>
    <row r="1" spans="1:11" ht="15" thickBot="1" x14ac:dyDescent="0.4"/>
    <row r="2" spans="1:11" ht="21.5" thickBot="1" x14ac:dyDescent="0.4">
      <c r="A2" s="86" t="s">
        <v>63</v>
      </c>
      <c r="B2" s="87"/>
      <c r="C2" s="87"/>
      <c r="D2" s="87"/>
      <c r="E2" s="88"/>
      <c r="G2" s="92" t="s">
        <v>69</v>
      </c>
      <c r="H2" s="93"/>
      <c r="I2" s="93"/>
      <c r="J2" s="94"/>
      <c r="K2" s="95"/>
    </row>
    <row r="3" spans="1:11" ht="15" thickBot="1" x14ac:dyDescent="0.4">
      <c r="A3" s="65" t="s">
        <v>0</v>
      </c>
      <c r="B3" s="66" t="s">
        <v>58</v>
      </c>
      <c r="C3" s="13"/>
      <c r="D3" s="7" t="s">
        <v>65</v>
      </c>
      <c r="E3" s="70">
        <f>GETPIVOTDATA("TOTAL SALES ",$A$7)</f>
        <v>35544900</v>
      </c>
      <c r="G3" s="45" t="s">
        <v>68</v>
      </c>
      <c r="H3" s="46" t="s">
        <v>58</v>
      </c>
      <c r="I3" s="37" t="s">
        <v>39</v>
      </c>
      <c r="J3" s="7" t="s">
        <v>70</v>
      </c>
      <c r="K3" s="39">
        <f>SUMIFS(H8:H17,G8:G17,I3)</f>
        <v>4301000</v>
      </c>
    </row>
    <row r="4" spans="1:11" ht="15" thickBot="1" x14ac:dyDescent="0.4">
      <c r="A4" s="65" t="s">
        <v>9</v>
      </c>
      <c r="B4" s="66" t="s">
        <v>58</v>
      </c>
      <c r="C4" s="13"/>
      <c r="D4" s="8" t="s">
        <v>66</v>
      </c>
      <c r="E4" s="71">
        <f>GETPIVOTDATA("TOTAL COST ",$A$7)</f>
        <v>17101500</v>
      </c>
      <c r="G4" s="45" t="s">
        <v>0</v>
      </c>
      <c r="H4" s="46" t="s">
        <v>58</v>
      </c>
      <c r="I4" s="37" t="s">
        <v>16</v>
      </c>
      <c r="J4" s="8" t="s">
        <v>71</v>
      </c>
      <c r="K4" s="40">
        <f>SUMIFS(K8:K17,G8:G17,I4)</f>
        <v>4065300</v>
      </c>
    </row>
    <row r="5" spans="1:11" ht="15" thickBot="1" x14ac:dyDescent="0.4">
      <c r="A5" s="65" t="s">
        <v>10</v>
      </c>
      <c r="B5" s="66" t="s">
        <v>58</v>
      </c>
      <c r="C5" s="13"/>
      <c r="D5" s="9" t="s">
        <v>67</v>
      </c>
      <c r="E5" s="72">
        <f>GETPIVOTDATA("TOTAL PROFIT ",$A$7)</f>
        <v>18443400</v>
      </c>
      <c r="G5" s="45" t="s">
        <v>10</v>
      </c>
      <c r="H5" s="46" t="s">
        <v>58</v>
      </c>
      <c r="I5" s="37" t="s">
        <v>18</v>
      </c>
      <c r="J5" s="38" t="s">
        <v>72</v>
      </c>
      <c r="K5" s="41">
        <f>SUMIFS(J8:J17,G8:G17,I5)</f>
        <v>2087400</v>
      </c>
    </row>
    <row r="6" spans="1:11" ht="15" thickBot="1" x14ac:dyDescent="0.4">
      <c r="A6" s="17"/>
      <c r="B6" s="13"/>
      <c r="C6" s="13"/>
      <c r="D6" s="74" t="s">
        <v>74</v>
      </c>
      <c r="E6" s="73">
        <f>GETPIVOTDATA("TOTAL QTY",$A$7)</f>
        <v>18921</v>
      </c>
      <c r="G6" s="96"/>
      <c r="H6" s="97"/>
      <c r="I6" s="97"/>
      <c r="J6" s="98"/>
      <c r="K6" s="99"/>
    </row>
    <row r="7" spans="1:11" ht="15" thickBot="1" x14ac:dyDescent="0.4">
      <c r="A7" s="26" t="s">
        <v>59</v>
      </c>
      <c r="B7" s="24" t="s">
        <v>54</v>
      </c>
      <c r="C7" s="29" t="s">
        <v>60</v>
      </c>
      <c r="D7" s="29" t="s">
        <v>61</v>
      </c>
      <c r="E7" s="30" t="s">
        <v>62</v>
      </c>
      <c r="G7" s="64" t="s">
        <v>9</v>
      </c>
      <c r="H7" s="61" t="s">
        <v>54</v>
      </c>
      <c r="I7" s="62" t="s">
        <v>60</v>
      </c>
      <c r="J7" s="62" t="s">
        <v>62</v>
      </c>
      <c r="K7" s="46" t="s">
        <v>61</v>
      </c>
    </row>
    <row r="8" spans="1:11" x14ac:dyDescent="0.35">
      <c r="A8" s="27" t="s">
        <v>2</v>
      </c>
      <c r="B8" s="25">
        <v>3411700</v>
      </c>
      <c r="C8" s="81">
        <v>1668</v>
      </c>
      <c r="D8" s="10">
        <v>1645350</v>
      </c>
      <c r="E8" s="12">
        <v>1766350</v>
      </c>
      <c r="G8" s="58" t="s">
        <v>24</v>
      </c>
      <c r="H8" s="52">
        <v>3814800</v>
      </c>
      <c r="I8" s="53">
        <v>1904</v>
      </c>
      <c r="J8" s="54">
        <v>1910800</v>
      </c>
      <c r="K8" s="55">
        <v>1904000</v>
      </c>
    </row>
    <row r="9" spans="1:11" x14ac:dyDescent="0.35">
      <c r="A9" s="27" t="s">
        <v>3</v>
      </c>
      <c r="B9" s="25">
        <v>2817700</v>
      </c>
      <c r="C9" s="81">
        <v>1655</v>
      </c>
      <c r="D9" s="10">
        <v>1366850</v>
      </c>
      <c r="E9" s="12">
        <v>1450850</v>
      </c>
      <c r="G9" s="59" t="s">
        <v>30</v>
      </c>
      <c r="H9" s="56">
        <v>2209200</v>
      </c>
      <c r="I9">
        <v>1841</v>
      </c>
      <c r="J9" s="47">
        <v>1104600</v>
      </c>
      <c r="K9" s="48">
        <v>1104600</v>
      </c>
    </row>
    <row r="10" spans="1:11" x14ac:dyDescent="0.35">
      <c r="A10" s="27" t="s">
        <v>4</v>
      </c>
      <c r="B10" s="25">
        <v>2386900</v>
      </c>
      <c r="C10" s="81">
        <v>1464</v>
      </c>
      <c r="D10" s="10">
        <v>1174100</v>
      </c>
      <c r="E10" s="12">
        <v>1212800</v>
      </c>
      <c r="G10" s="59" t="s">
        <v>36</v>
      </c>
      <c r="H10" s="56">
        <v>2542800</v>
      </c>
      <c r="I10">
        <v>2119</v>
      </c>
      <c r="J10" s="47">
        <v>1377350</v>
      </c>
      <c r="K10" s="48">
        <v>1165450</v>
      </c>
    </row>
    <row r="11" spans="1:11" x14ac:dyDescent="0.35">
      <c r="A11" s="27" t="s">
        <v>5</v>
      </c>
      <c r="B11" s="25">
        <v>2501350</v>
      </c>
      <c r="C11" s="81">
        <v>1275</v>
      </c>
      <c r="D11" s="10">
        <v>1202050</v>
      </c>
      <c r="E11" s="12">
        <v>1299300</v>
      </c>
      <c r="G11" s="59" t="s">
        <v>16</v>
      </c>
      <c r="H11" s="56">
        <v>8939100</v>
      </c>
      <c r="I11">
        <v>1655</v>
      </c>
      <c r="J11" s="47">
        <v>4873800</v>
      </c>
      <c r="K11" s="48">
        <v>4065300</v>
      </c>
    </row>
    <row r="12" spans="1:11" x14ac:dyDescent="0.35">
      <c r="A12" s="27" t="s">
        <v>45</v>
      </c>
      <c r="B12" s="25">
        <v>3035850</v>
      </c>
      <c r="C12" s="81">
        <v>1573</v>
      </c>
      <c r="D12" s="10">
        <v>1453350</v>
      </c>
      <c r="E12" s="12">
        <v>1582500</v>
      </c>
      <c r="G12" s="59" t="s">
        <v>18</v>
      </c>
      <c r="H12" s="56">
        <v>4013000</v>
      </c>
      <c r="I12">
        <v>1613</v>
      </c>
      <c r="J12" s="47">
        <v>2087400</v>
      </c>
      <c r="K12" s="48">
        <v>1925600</v>
      </c>
    </row>
    <row r="13" spans="1:11" x14ac:dyDescent="0.35">
      <c r="A13" s="27" t="s">
        <v>46</v>
      </c>
      <c r="B13" s="25">
        <v>2547000</v>
      </c>
      <c r="C13" s="81">
        <v>1423</v>
      </c>
      <c r="D13" s="10">
        <v>1223950</v>
      </c>
      <c r="E13" s="12">
        <v>1323050</v>
      </c>
      <c r="G13" s="59" t="s">
        <v>33</v>
      </c>
      <c r="H13" s="56">
        <v>1150050</v>
      </c>
      <c r="I13">
        <v>2091</v>
      </c>
      <c r="J13" s="47">
        <v>731850</v>
      </c>
      <c r="K13" s="48">
        <v>418200</v>
      </c>
    </row>
    <row r="14" spans="1:11" x14ac:dyDescent="0.35">
      <c r="A14" s="27" t="s">
        <v>47</v>
      </c>
      <c r="B14" s="25">
        <v>3303700</v>
      </c>
      <c r="C14" s="81">
        <v>1662</v>
      </c>
      <c r="D14" s="10">
        <v>1585350</v>
      </c>
      <c r="E14" s="12">
        <v>1718350</v>
      </c>
      <c r="G14" s="59" t="s">
        <v>42</v>
      </c>
      <c r="H14" s="56">
        <v>1039350</v>
      </c>
      <c r="I14">
        <v>1599</v>
      </c>
      <c r="J14" s="47">
        <v>159900</v>
      </c>
      <c r="K14" s="48">
        <v>879450</v>
      </c>
    </row>
    <row r="15" spans="1:11" x14ac:dyDescent="0.35">
      <c r="A15" s="27" t="s">
        <v>48</v>
      </c>
      <c r="B15" s="25">
        <v>3674650</v>
      </c>
      <c r="C15" s="81">
        <v>1784</v>
      </c>
      <c r="D15" s="10">
        <v>1752400</v>
      </c>
      <c r="E15" s="12">
        <v>1922250</v>
      </c>
      <c r="G15" s="59" t="s">
        <v>21</v>
      </c>
      <c r="H15" s="56">
        <v>3137100</v>
      </c>
      <c r="I15">
        <v>2101</v>
      </c>
      <c r="J15" s="47">
        <v>1468300</v>
      </c>
      <c r="K15" s="48">
        <v>1668800</v>
      </c>
    </row>
    <row r="16" spans="1:11" x14ac:dyDescent="0.35">
      <c r="A16" s="27" t="s">
        <v>49</v>
      </c>
      <c r="B16" s="25">
        <v>2695850</v>
      </c>
      <c r="C16" s="81">
        <v>1479</v>
      </c>
      <c r="D16" s="10">
        <v>1289450</v>
      </c>
      <c r="E16" s="12">
        <v>1406400</v>
      </c>
      <c r="G16" s="59" t="s">
        <v>39</v>
      </c>
      <c r="H16" s="56">
        <v>4301000</v>
      </c>
      <c r="I16">
        <v>1955</v>
      </c>
      <c r="J16" s="47">
        <v>2346000</v>
      </c>
      <c r="K16" s="48">
        <v>1955000</v>
      </c>
    </row>
    <row r="17" spans="1:11" ht="15" thickBot="1" x14ac:dyDescent="0.4">
      <c r="A17" s="27" t="s">
        <v>50</v>
      </c>
      <c r="B17" s="25">
        <v>4124750</v>
      </c>
      <c r="C17" s="81">
        <v>1959</v>
      </c>
      <c r="D17" s="10">
        <v>1962850</v>
      </c>
      <c r="E17" s="12">
        <v>2161900</v>
      </c>
      <c r="G17" s="60" t="s">
        <v>27</v>
      </c>
      <c r="H17" s="56">
        <v>4398500</v>
      </c>
      <c r="I17">
        <v>2043</v>
      </c>
      <c r="J17" s="47">
        <v>2383400</v>
      </c>
      <c r="K17" s="48">
        <v>2015100</v>
      </c>
    </row>
    <row r="18" spans="1:11" ht="15" thickBot="1" x14ac:dyDescent="0.4">
      <c r="A18" s="27" t="s">
        <v>51</v>
      </c>
      <c r="B18" s="25">
        <v>2438350</v>
      </c>
      <c r="C18" s="81">
        <v>1291</v>
      </c>
      <c r="D18" s="10">
        <v>1168200</v>
      </c>
      <c r="E18" s="12">
        <v>1270150</v>
      </c>
      <c r="G18" s="63" t="s">
        <v>44</v>
      </c>
      <c r="H18" s="57">
        <v>35544900</v>
      </c>
      <c r="I18" s="49">
        <v>18921</v>
      </c>
      <c r="J18" s="50">
        <v>18443400</v>
      </c>
      <c r="K18" s="51">
        <v>17101500</v>
      </c>
    </row>
    <row r="19" spans="1:11" ht="15" thickBot="1" x14ac:dyDescent="0.4">
      <c r="A19" s="28" t="s">
        <v>52</v>
      </c>
      <c r="B19" s="25">
        <v>2607100</v>
      </c>
      <c r="C19" s="81">
        <v>1688</v>
      </c>
      <c r="D19" s="10">
        <v>1277600</v>
      </c>
      <c r="E19" s="12">
        <v>1329500</v>
      </c>
    </row>
    <row r="20" spans="1:11" ht="15" thickBot="1" x14ac:dyDescent="0.4">
      <c r="A20" s="32" t="s">
        <v>44</v>
      </c>
      <c r="B20" s="31">
        <v>35544900</v>
      </c>
      <c r="C20" s="82">
        <v>18921</v>
      </c>
      <c r="D20" s="19">
        <v>17101500</v>
      </c>
      <c r="E20" s="20">
        <v>18443400</v>
      </c>
    </row>
    <row r="21" spans="1:11" x14ac:dyDescent="0.35">
      <c r="C21" s="6"/>
    </row>
    <row r="22" spans="1:11" ht="15" thickBot="1" x14ac:dyDescent="0.4">
      <c r="C22" s="6"/>
    </row>
    <row r="23" spans="1:11" ht="21" x14ac:dyDescent="0.5">
      <c r="A23" s="89" t="s">
        <v>64</v>
      </c>
      <c r="B23" s="90"/>
      <c r="C23" s="90"/>
      <c r="D23" s="90"/>
      <c r="E23" s="91"/>
      <c r="G23" s="89" t="s">
        <v>73</v>
      </c>
      <c r="H23" s="90"/>
      <c r="I23" s="90"/>
      <c r="J23" s="90"/>
      <c r="K23" s="91"/>
    </row>
    <row r="24" spans="1:11" ht="15" thickBot="1" x14ac:dyDescent="0.4">
      <c r="A24" s="26" t="s">
        <v>53</v>
      </c>
      <c r="B24" s="35" t="s">
        <v>54</v>
      </c>
      <c r="C24" s="13"/>
      <c r="D24" s="26" t="s">
        <v>56</v>
      </c>
      <c r="E24" s="35" t="s">
        <v>54</v>
      </c>
      <c r="G24" s="21" t="s">
        <v>9</v>
      </c>
      <c r="H24" s="1" t="s">
        <v>54</v>
      </c>
      <c r="I24" s="13"/>
      <c r="J24" s="1" t="s">
        <v>9</v>
      </c>
      <c r="K24" s="11" t="s">
        <v>61</v>
      </c>
    </row>
    <row r="25" spans="1:11" x14ac:dyDescent="0.35">
      <c r="A25" s="36" t="s">
        <v>15</v>
      </c>
      <c r="B25" s="33">
        <v>8893500</v>
      </c>
      <c r="C25" s="14"/>
      <c r="D25" s="36" t="s">
        <v>24</v>
      </c>
      <c r="E25" s="33">
        <v>3814800</v>
      </c>
      <c r="G25" s="21" t="s">
        <v>24</v>
      </c>
      <c r="H25" s="4">
        <v>3814800</v>
      </c>
      <c r="I25" s="14"/>
      <c r="J25" s="1" t="s">
        <v>24</v>
      </c>
      <c r="K25" s="22">
        <v>1904000</v>
      </c>
    </row>
    <row r="26" spans="1:11" x14ac:dyDescent="0.35">
      <c r="A26" s="36" t="s">
        <v>32</v>
      </c>
      <c r="B26" s="33">
        <v>1155550</v>
      </c>
      <c r="C26" s="14"/>
      <c r="D26" s="36" t="s">
        <v>30</v>
      </c>
      <c r="E26" s="33">
        <v>2209200</v>
      </c>
      <c r="G26" s="21" t="s">
        <v>30</v>
      </c>
      <c r="H26" s="4">
        <v>2209200</v>
      </c>
      <c r="I26" s="14"/>
      <c r="J26" s="1" t="s">
        <v>30</v>
      </c>
      <c r="K26" s="22">
        <v>1104600</v>
      </c>
    </row>
    <row r="27" spans="1:11" x14ac:dyDescent="0.35">
      <c r="A27" s="36" t="s">
        <v>20</v>
      </c>
      <c r="B27" s="33">
        <v>3079500</v>
      </c>
      <c r="C27" s="14"/>
      <c r="D27" s="36" t="s">
        <v>36</v>
      </c>
      <c r="E27" s="33">
        <v>2542800</v>
      </c>
      <c r="G27" s="21" t="s">
        <v>36</v>
      </c>
      <c r="H27" s="4">
        <v>2542800</v>
      </c>
      <c r="I27" s="14"/>
      <c r="J27" s="1" t="s">
        <v>36</v>
      </c>
      <c r="K27" s="22">
        <v>1165450</v>
      </c>
    </row>
    <row r="28" spans="1:11" x14ac:dyDescent="0.35">
      <c r="A28" s="36" t="s">
        <v>26</v>
      </c>
      <c r="B28" s="33">
        <v>4358200</v>
      </c>
      <c r="C28" s="14"/>
      <c r="D28" s="36" t="s">
        <v>16</v>
      </c>
      <c r="E28" s="33">
        <v>8939100</v>
      </c>
      <c r="G28" s="21" t="s">
        <v>16</v>
      </c>
      <c r="H28" s="4">
        <v>8939100</v>
      </c>
      <c r="I28" s="14"/>
      <c r="J28" s="1" t="s">
        <v>16</v>
      </c>
      <c r="K28" s="22">
        <v>4065300</v>
      </c>
    </row>
    <row r="29" spans="1:11" x14ac:dyDescent="0.35">
      <c r="A29" s="36" t="s">
        <v>38</v>
      </c>
      <c r="B29" s="33">
        <v>4375800</v>
      </c>
      <c r="C29" s="14"/>
      <c r="D29" s="36" t="s">
        <v>18</v>
      </c>
      <c r="E29" s="33">
        <v>4013000</v>
      </c>
      <c r="G29" s="21" t="s">
        <v>18</v>
      </c>
      <c r="H29" s="4">
        <v>4013000</v>
      </c>
      <c r="I29" s="14"/>
      <c r="J29" s="1" t="s">
        <v>18</v>
      </c>
      <c r="K29" s="22">
        <v>1925600</v>
      </c>
    </row>
    <row r="30" spans="1:11" x14ac:dyDescent="0.35">
      <c r="A30" s="36" t="s">
        <v>17</v>
      </c>
      <c r="B30" s="33">
        <v>4007500</v>
      </c>
      <c r="C30" s="14"/>
      <c r="D30" s="36" t="s">
        <v>33</v>
      </c>
      <c r="E30" s="33">
        <v>1150050</v>
      </c>
      <c r="G30" s="21" t="s">
        <v>33</v>
      </c>
      <c r="H30" s="4">
        <v>1150050</v>
      </c>
      <c r="I30" s="14"/>
      <c r="J30" s="1" t="s">
        <v>33</v>
      </c>
      <c r="K30" s="22">
        <v>418200</v>
      </c>
    </row>
    <row r="31" spans="1:11" x14ac:dyDescent="0.35">
      <c r="A31" s="36" t="s">
        <v>35</v>
      </c>
      <c r="B31" s="33">
        <v>2600400</v>
      </c>
      <c r="C31" s="14"/>
      <c r="D31" s="36" t="s">
        <v>42</v>
      </c>
      <c r="E31" s="33">
        <v>1039350</v>
      </c>
      <c r="G31" s="21" t="s">
        <v>42</v>
      </c>
      <c r="H31" s="4">
        <v>1039350</v>
      </c>
      <c r="I31" s="14"/>
      <c r="J31" s="1" t="s">
        <v>42</v>
      </c>
      <c r="K31" s="22">
        <v>879450</v>
      </c>
    </row>
    <row r="32" spans="1:11" x14ac:dyDescent="0.35">
      <c r="A32" s="36" t="s">
        <v>29</v>
      </c>
      <c r="B32" s="33">
        <v>2254800</v>
      </c>
      <c r="C32" s="14"/>
      <c r="D32" s="36" t="s">
        <v>21</v>
      </c>
      <c r="E32" s="33">
        <v>3137100</v>
      </c>
      <c r="G32" s="21" t="s">
        <v>21</v>
      </c>
      <c r="H32" s="4">
        <v>3137100</v>
      </c>
      <c r="I32" s="14"/>
      <c r="J32" s="1" t="s">
        <v>21</v>
      </c>
      <c r="K32" s="22">
        <v>1668800</v>
      </c>
    </row>
    <row r="33" spans="1:11" x14ac:dyDescent="0.35">
      <c r="A33" s="36" t="s">
        <v>23</v>
      </c>
      <c r="B33" s="33">
        <v>3740000</v>
      </c>
      <c r="C33" s="14"/>
      <c r="D33" s="36" t="s">
        <v>39</v>
      </c>
      <c r="E33" s="33">
        <v>4301000</v>
      </c>
      <c r="G33" s="21" t="s">
        <v>39</v>
      </c>
      <c r="H33" s="4">
        <v>4301000</v>
      </c>
      <c r="I33" s="14"/>
      <c r="J33" s="1" t="s">
        <v>39</v>
      </c>
      <c r="K33" s="22">
        <v>1955000</v>
      </c>
    </row>
    <row r="34" spans="1:11" ht="15" thickBot="1" x14ac:dyDescent="0.4">
      <c r="A34" s="35" t="s">
        <v>41</v>
      </c>
      <c r="B34" s="33">
        <v>1079650</v>
      </c>
      <c r="C34" s="14"/>
      <c r="D34" s="35" t="s">
        <v>27</v>
      </c>
      <c r="E34" s="33">
        <v>4398500</v>
      </c>
      <c r="G34" s="21" t="s">
        <v>27</v>
      </c>
      <c r="H34" s="4">
        <v>4398500</v>
      </c>
      <c r="I34" s="14"/>
      <c r="J34" s="1" t="s">
        <v>27</v>
      </c>
      <c r="K34" s="22">
        <v>2015100</v>
      </c>
    </row>
    <row r="35" spans="1:11" ht="15" thickBot="1" x14ac:dyDescent="0.4">
      <c r="A35" s="35" t="s">
        <v>44</v>
      </c>
      <c r="B35" s="34">
        <v>35544900</v>
      </c>
      <c r="C35" s="14"/>
      <c r="D35" s="35" t="s">
        <v>44</v>
      </c>
      <c r="E35" s="34">
        <v>35544900</v>
      </c>
      <c r="G35" s="21" t="s">
        <v>44</v>
      </c>
      <c r="H35" s="4">
        <v>35544900</v>
      </c>
      <c r="I35" s="14"/>
      <c r="J35" s="1" t="s">
        <v>44</v>
      </c>
      <c r="K35" s="22">
        <v>17101500</v>
      </c>
    </row>
    <row r="36" spans="1:11" x14ac:dyDescent="0.35">
      <c r="A36" s="17"/>
      <c r="B36" s="13"/>
      <c r="C36" s="14"/>
      <c r="D36" s="14"/>
      <c r="E36" s="16"/>
      <c r="G36" s="23"/>
      <c r="H36" s="44"/>
      <c r="I36" s="14"/>
      <c r="J36" s="14"/>
      <c r="K36" s="16"/>
    </row>
    <row r="37" spans="1:11" ht="15" thickBot="1" x14ac:dyDescent="0.4">
      <c r="A37" s="26" t="s">
        <v>55</v>
      </c>
      <c r="B37" s="35" t="s">
        <v>54</v>
      </c>
      <c r="C37" s="14"/>
      <c r="D37" s="26" t="s">
        <v>57</v>
      </c>
      <c r="E37" s="35" t="s">
        <v>54</v>
      </c>
      <c r="G37" s="35" t="s">
        <v>9</v>
      </c>
      <c r="H37" s="35" t="s">
        <v>62</v>
      </c>
      <c r="I37" s="14"/>
      <c r="J37" s="69" t="s">
        <v>9</v>
      </c>
      <c r="K37" s="68" t="s">
        <v>60</v>
      </c>
    </row>
    <row r="38" spans="1:11" x14ac:dyDescent="0.35">
      <c r="A38" s="36" t="s">
        <v>2</v>
      </c>
      <c r="B38" s="33">
        <v>3411700</v>
      </c>
      <c r="C38" s="14"/>
      <c r="D38" s="36" t="s">
        <v>34</v>
      </c>
      <c r="E38" s="33">
        <v>1150050</v>
      </c>
      <c r="G38" s="36" t="s">
        <v>24</v>
      </c>
      <c r="H38" s="33">
        <v>1910800</v>
      </c>
      <c r="I38" s="14"/>
      <c r="J38" s="6" t="s">
        <v>24</v>
      </c>
      <c r="K38">
        <v>1904</v>
      </c>
    </row>
    <row r="39" spans="1:11" x14ac:dyDescent="0.35">
      <c r="A39" s="36" t="s">
        <v>3</v>
      </c>
      <c r="B39" s="33">
        <v>2817700</v>
      </c>
      <c r="C39" s="14"/>
      <c r="D39" s="36" t="s">
        <v>19</v>
      </c>
      <c r="E39" s="33">
        <v>4013000</v>
      </c>
      <c r="G39" s="36" t="s">
        <v>30</v>
      </c>
      <c r="H39" s="33">
        <v>1104600</v>
      </c>
      <c r="I39" s="14"/>
      <c r="J39" s="6" t="s">
        <v>30</v>
      </c>
      <c r="K39">
        <v>1841</v>
      </c>
    </row>
    <row r="40" spans="1:11" x14ac:dyDescent="0.35">
      <c r="A40" s="36" t="s">
        <v>4</v>
      </c>
      <c r="B40" s="33">
        <v>2386900</v>
      </c>
      <c r="C40" s="14"/>
      <c r="D40" s="36" t="s">
        <v>1</v>
      </c>
      <c r="E40" s="33">
        <v>8939100</v>
      </c>
      <c r="G40" s="36" t="s">
        <v>36</v>
      </c>
      <c r="H40" s="33">
        <v>1377350</v>
      </c>
      <c r="I40" s="14"/>
      <c r="J40" s="6" t="s">
        <v>36</v>
      </c>
      <c r="K40">
        <v>2119</v>
      </c>
    </row>
    <row r="41" spans="1:11" x14ac:dyDescent="0.35">
      <c r="A41" s="36" t="s">
        <v>5</v>
      </c>
      <c r="B41" s="33">
        <v>2501350</v>
      </c>
      <c r="C41" s="14"/>
      <c r="D41" s="36" t="s">
        <v>31</v>
      </c>
      <c r="E41" s="33">
        <v>2209200</v>
      </c>
      <c r="G41" s="36" t="s">
        <v>16</v>
      </c>
      <c r="H41" s="33">
        <v>4873800</v>
      </c>
      <c r="I41" s="14"/>
      <c r="J41" s="6" t="s">
        <v>16</v>
      </c>
      <c r="K41">
        <v>1655</v>
      </c>
    </row>
    <row r="42" spans="1:11" x14ac:dyDescent="0.35">
      <c r="A42" s="36" t="s">
        <v>45</v>
      </c>
      <c r="B42" s="33">
        <v>3035850</v>
      </c>
      <c r="C42" s="14"/>
      <c r="D42" s="36" t="s">
        <v>25</v>
      </c>
      <c r="E42" s="33">
        <v>3814800</v>
      </c>
      <c r="G42" s="36" t="s">
        <v>18</v>
      </c>
      <c r="H42" s="33">
        <v>2087400</v>
      </c>
      <c r="I42" s="14"/>
      <c r="J42" s="6" t="s">
        <v>18</v>
      </c>
      <c r="K42">
        <v>1613</v>
      </c>
    </row>
    <row r="43" spans="1:11" x14ac:dyDescent="0.35">
      <c r="A43" s="36" t="s">
        <v>46</v>
      </c>
      <c r="B43" s="33">
        <v>2547000</v>
      </c>
      <c r="C43" s="14"/>
      <c r="D43" s="36" t="s">
        <v>22</v>
      </c>
      <c r="E43" s="33">
        <v>3137100</v>
      </c>
      <c r="G43" s="36" t="s">
        <v>33</v>
      </c>
      <c r="H43" s="33">
        <v>731850</v>
      </c>
      <c r="I43" s="14"/>
      <c r="J43" s="6" t="s">
        <v>33</v>
      </c>
      <c r="K43">
        <v>2091</v>
      </c>
    </row>
    <row r="44" spans="1:11" x14ac:dyDescent="0.35">
      <c r="A44" s="36" t="s">
        <v>47</v>
      </c>
      <c r="B44" s="33">
        <v>3303700</v>
      </c>
      <c r="C44" s="14"/>
      <c r="D44" s="36" t="s">
        <v>40</v>
      </c>
      <c r="E44" s="33">
        <v>4301000</v>
      </c>
      <c r="G44" s="36" t="s">
        <v>42</v>
      </c>
      <c r="H44" s="33">
        <v>159900</v>
      </c>
      <c r="I44" s="14"/>
      <c r="J44" s="6" t="s">
        <v>42</v>
      </c>
      <c r="K44">
        <v>1599</v>
      </c>
    </row>
    <row r="45" spans="1:11" x14ac:dyDescent="0.35">
      <c r="A45" s="36" t="s">
        <v>48</v>
      </c>
      <c r="B45" s="33">
        <v>3674650</v>
      </c>
      <c r="C45" s="14"/>
      <c r="D45" s="36" t="s">
        <v>43</v>
      </c>
      <c r="E45" s="33">
        <v>1039350</v>
      </c>
      <c r="G45" s="36" t="s">
        <v>21</v>
      </c>
      <c r="H45" s="33">
        <v>1468300</v>
      </c>
      <c r="I45" s="14"/>
      <c r="J45" s="6" t="s">
        <v>21</v>
      </c>
      <c r="K45">
        <v>2101</v>
      </c>
    </row>
    <row r="46" spans="1:11" x14ac:dyDescent="0.35">
      <c r="A46" s="36" t="s">
        <v>49</v>
      </c>
      <c r="B46" s="33">
        <v>2695850</v>
      </c>
      <c r="C46" s="14"/>
      <c r="D46" s="36" t="s">
        <v>28</v>
      </c>
      <c r="E46" s="33">
        <v>4398500</v>
      </c>
      <c r="G46" s="36" t="s">
        <v>39</v>
      </c>
      <c r="H46" s="33">
        <v>2346000</v>
      </c>
      <c r="I46" s="14"/>
      <c r="J46" s="6" t="s">
        <v>39</v>
      </c>
      <c r="K46">
        <v>1955</v>
      </c>
    </row>
    <row r="47" spans="1:11" ht="15" thickBot="1" x14ac:dyDescent="0.4">
      <c r="A47" s="36" t="s">
        <v>50</v>
      </c>
      <c r="B47" s="33">
        <v>4124750</v>
      </c>
      <c r="C47" s="14"/>
      <c r="D47" s="35" t="s">
        <v>37</v>
      </c>
      <c r="E47" s="33">
        <v>2542800</v>
      </c>
      <c r="G47" s="36" t="s">
        <v>27</v>
      </c>
      <c r="H47" s="33">
        <v>2383400</v>
      </c>
      <c r="I47" s="14"/>
      <c r="J47" s="67" t="s">
        <v>27</v>
      </c>
      <c r="K47">
        <v>2043</v>
      </c>
    </row>
    <row r="48" spans="1:11" ht="15" thickBot="1" x14ac:dyDescent="0.4">
      <c r="A48" s="36" t="s">
        <v>51</v>
      </c>
      <c r="B48" s="33">
        <v>2438350</v>
      </c>
      <c r="C48" s="14"/>
      <c r="D48" s="35" t="s">
        <v>44</v>
      </c>
      <c r="E48" s="34">
        <v>35544900</v>
      </c>
      <c r="G48" s="35" t="s">
        <v>44</v>
      </c>
      <c r="H48" s="34">
        <v>18443400</v>
      </c>
      <c r="I48" s="15"/>
      <c r="J48" s="67" t="s">
        <v>44</v>
      </c>
      <c r="K48" s="68">
        <v>18921</v>
      </c>
    </row>
    <row r="49" spans="1:5" ht="15" thickBot="1" x14ac:dyDescent="0.4">
      <c r="A49" s="35" t="s">
        <v>52</v>
      </c>
      <c r="B49" s="33">
        <v>2607100</v>
      </c>
      <c r="C49" s="14"/>
      <c r="D49" s="13"/>
      <c r="E49" s="18"/>
    </row>
    <row r="50" spans="1:5" ht="15" thickBot="1" x14ac:dyDescent="0.4">
      <c r="A50" s="35" t="s">
        <v>44</v>
      </c>
      <c r="B50" s="34">
        <v>35544900</v>
      </c>
      <c r="C50" s="15"/>
      <c r="D50" s="42"/>
      <c r="E50" s="43"/>
    </row>
    <row r="70" ht="15" thickBot="1" x14ac:dyDescent="0.4"/>
    <row r="99" ht="15" thickBot="1" x14ac:dyDescent="0.4"/>
    <row r="131" ht="15" thickBot="1" x14ac:dyDescent="0.4"/>
    <row r="162" ht="15" thickBot="1" x14ac:dyDescent="0.4"/>
    <row r="194" ht="15" thickBot="1" x14ac:dyDescent="0.4"/>
    <row r="225" ht="15" thickBot="1" x14ac:dyDescent="0.4"/>
    <row r="257" ht="15" thickBot="1" x14ac:dyDescent="0.4"/>
    <row r="289" ht="15" thickBot="1" x14ac:dyDescent="0.4"/>
    <row r="320" ht="15" thickBot="1" x14ac:dyDescent="0.4"/>
    <row r="352" ht="15" thickBot="1" x14ac:dyDescent="0.4"/>
    <row r="383" ht="15" thickBot="1" x14ac:dyDescent="0.4"/>
    <row r="415" ht="15" thickBot="1" x14ac:dyDescent="0.4"/>
  </sheetData>
  <mergeCells count="5">
    <mergeCell ref="A2:E2"/>
    <mergeCell ref="A23:E23"/>
    <mergeCell ref="G2:K2"/>
    <mergeCell ref="G6:K6"/>
    <mergeCell ref="G23:K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8D2C-E3DC-40E3-889C-6C206E34FE6B}">
  <sheetPr>
    <pageSetUpPr fitToPage="1"/>
  </sheetPr>
  <dimension ref="B1:Y28"/>
  <sheetViews>
    <sheetView showGridLines="0" tabSelected="1" zoomScale="75" zoomScaleNormal="75" workbookViewId="0">
      <selection activeCell="C5" sqref="C5"/>
    </sheetView>
  </sheetViews>
  <sheetFormatPr defaultRowHeight="14.5" x14ac:dyDescent="0.35"/>
  <sheetData>
    <row r="1" spans="2:25" ht="15" thickBot="1" x14ac:dyDescent="0.4"/>
    <row r="2" spans="2:25" x14ac:dyDescent="0.35">
      <c r="B2" s="75"/>
      <c r="C2" s="53"/>
      <c r="D2" s="53"/>
      <c r="E2" s="53"/>
      <c r="F2" s="53"/>
      <c r="G2" s="53"/>
      <c r="H2" s="53"/>
      <c r="I2" s="53"/>
      <c r="J2" s="53"/>
      <c r="K2" s="53"/>
      <c r="L2" s="53"/>
      <c r="M2" s="53"/>
      <c r="N2" s="53"/>
      <c r="O2" s="53"/>
      <c r="P2" s="53"/>
      <c r="Q2" s="53"/>
      <c r="R2" s="53"/>
      <c r="S2" s="53"/>
      <c r="T2" s="53"/>
      <c r="U2" s="53"/>
      <c r="V2" s="53"/>
      <c r="W2" s="53"/>
      <c r="X2" s="53"/>
      <c r="Y2" s="76"/>
    </row>
    <row r="3" spans="2:25" x14ac:dyDescent="0.35">
      <c r="B3" s="77"/>
      <c r="Y3" s="78"/>
    </row>
    <row r="4" spans="2:25" x14ac:dyDescent="0.35">
      <c r="B4" s="77"/>
      <c r="Y4" s="78"/>
    </row>
    <row r="5" spans="2:25" x14ac:dyDescent="0.35">
      <c r="B5" s="77"/>
      <c r="Y5" s="78"/>
    </row>
    <row r="6" spans="2:25" x14ac:dyDescent="0.35">
      <c r="B6" s="77"/>
      <c r="Y6" s="78"/>
    </row>
    <row r="7" spans="2:25" x14ac:dyDescent="0.35">
      <c r="B7" s="77"/>
      <c r="Y7" s="78"/>
    </row>
    <row r="8" spans="2:25" x14ac:dyDescent="0.35">
      <c r="B8" s="77"/>
      <c r="Y8" s="78"/>
    </row>
    <row r="9" spans="2:25" x14ac:dyDescent="0.35">
      <c r="B9" s="77"/>
      <c r="Y9" s="78"/>
    </row>
    <row r="10" spans="2:25" x14ac:dyDescent="0.35">
      <c r="B10" s="77"/>
      <c r="Y10" s="78"/>
    </row>
    <row r="11" spans="2:25" x14ac:dyDescent="0.35">
      <c r="B11" s="77"/>
      <c r="Y11" s="78"/>
    </row>
    <row r="12" spans="2:25" x14ac:dyDescent="0.35">
      <c r="B12" s="77"/>
      <c r="Y12" s="78"/>
    </row>
    <row r="13" spans="2:25" x14ac:dyDescent="0.35">
      <c r="B13" s="77"/>
      <c r="Y13" s="78"/>
    </row>
    <row r="14" spans="2:25" x14ac:dyDescent="0.35">
      <c r="B14" s="77"/>
      <c r="Y14" s="78"/>
    </row>
    <row r="15" spans="2:25" x14ac:dyDescent="0.35">
      <c r="B15" s="77"/>
      <c r="Y15" s="78"/>
    </row>
    <row r="16" spans="2:25" x14ac:dyDescent="0.35">
      <c r="B16" s="77"/>
      <c r="Y16" s="78"/>
    </row>
    <row r="17" spans="2:25" x14ac:dyDescent="0.35">
      <c r="B17" s="77"/>
      <c r="Y17" s="78"/>
    </row>
    <row r="18" spans="2:25" x14ac:dyDescent="0.35">
      <c r="B18" s="77"/>
      <c r="Y18" s="78"/>
    </row>
    <row r="19" spans="2:25" x14ac:dyDescent="0.35">
      <c r="B19" s="77"/>
      <c r="Y19" s="78"/>
    </row>
    <row r="20" spans="2:25" x14ac:dyDescent="0.35">
      <c r="B20" s="77"/>
      <c r="Y20" s="78"/>
    </row>
    <row r="21" spans="2:25" x14ac:dyDescent="0.35">
      <c r="B21" s="77"/>
      <c r="Y21" s="78"/>
    </row>
    <row r="22" spans="2:25" x14ac:dyDescent="0.35">
      <c r="B22" s="77"/>
      <c r="Y22" s="78"/>
    </row>
    <row r="23" spans="2:25" x14ac:dyDescent="0.35">
      <c r="B23" s="77"/>
      <c r="Y23" s="78"/>
    </row>
    <row r="24" spans="2:25" x14ac:dyDescent="0.35">
      <c r="B24" s="77"/>
      <c r="Y24" s="78"/>
    </row>
    <row r="25" spans="2:25" x14ac:dyDescent="0.35">
      <c r="B25" s="77"/>
      <c r="Y25" s="78"/>
    </row>
    <row r="26" spans="2:25" x14ac:dyDescent="0.35">
      <c r="B26" s="77"/>
      <c r="Y26" s="78"/>
    </row>
    <row r="27" spans="2:25" x14ac:dyDescent="0.35">
      <c r="B27" s="77"/>
      <c r="Y27" s="78"/>
    </row>
    <row r="28" spans="2:25" ht="15" thickBot="1" x14ac:dyDescent="0.4">
      <c r="B28" s="79"/>
      <c r="C28" s="68"/>
      <c r="D28" s="68"/>
      <c r="E28" s="68"/>
      <c r="F28" s="68"/>
      <c r="G28" s="68"/>
      <c r="H28" s="68"/>
      <c r="I28" s="68"/>
      <c r="J28" s="68"/>
      <c r="K28" s="68"/>
      <c r="L28" s="68"/>
      <c r="M28" s="68"/>
      <c r="N28" s="68"/>
      <c r="O28" s="68"/>
      <c r="P28" s="68"/>
      <c r="Q28" s="68"/>
      <c r="R28" s="68"/>
      <c r="S28" s="68"/>
      <c r="T28" s="68"/>
      <c r="U28" s="68"/>
      <c r="V28" s="68"/>
      <c r="W28" s="68"/>
      <c r="X28" s="68"/>
      <c r="Y28" s="80"/>
    </row>
  </sheetData>
  <sheetProtection pivotTables="0"/>
  <pageMargins left="0.7" right="0.7" top="0.75" bottom="0.75" header="0.3" footer="0.3"/>
  <pageSetup paperSize="9" scale="3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2025-09-30T13:08:03Z</cp:lastPrinted>
  <dcterms:created xsi:type="dcterms:W3CDTF">2025-09-22T17:52:48Z</dcterms:created>
  <dcterms:modified xsi:type="dcterms:W3CDTF">2025-11-21T10:17:46Z</dcterms:modified>
</cp:coreProperties>
</file>